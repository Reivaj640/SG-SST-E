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2. Trabajo\1. SG-SST\2. Temporales Comfa\2. Temposum Est SAS\4. Gestión de Peligros y Riesgos\4.1.2 Identificación de Peligros\"/>
    </mc:Choice>
  </mc:AlternateContent>
  <xr:revisionPtr revIDLastSave="0" documentId="8_{F998F10C-9ACA-40C6-A391-399F5E1831A5}" xr6:coauthVersionLast="47" xr6:coauthVersionMax="47" xr10:uidLastSave="{00000000-0000-0000-0000-000000000000}"/>
  <bookViews>
    <workbookView xWindow="-120" yWindow="-120" windowWidth="29040" windowHeight="16440" xr2:uid="{50301A06-7A7A-4C32-B472-1BEC3E83DE03}"/>
  </bookViews>
  <sheets>
    <sheet name="MATRIZ IPERV " sheetId="2" r:id="rId1"/>
  </sheets>
  <definedNames>
    <definedName name="_xlnm._FilterDatabase" localSheetId="0" hidden="1">'MATRIZ IPERV '!$A$8:$AB$9</definedName>
    <definedName name="_xlnm.Print_Area" localSheetId="0">'MATRIZ IPERV '!$A$1:$AB$107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" i="2" l="1"/>
  <c r="S77" i="2"/>
  <c r="T77" i="2"/>
  <c r="U77" i="2"/>
  <c r="P76" i="2"/>
  <c r="S76" i="2"/>
  <c r="T76" i="2"/>
  <c r="U76" i="2"/>
  <c r="P75" i="2"/>
  <c r="S75" i="2"/>
  <c r="T75" i="2"/>
  <c r="U75" i="2"/>
  <c r="P74" i="2"/>
  <c r="S74" i="2"/>
  <c r="T74" i="2"/>
  <c r="U74" i="2"/>
  <c r="P73" i="2"/>
  <c r="S73" i="2"/>
  <c r="T73" i="2"/>
  <c r="U73" i="2"/>
  <c r="P72" i="2"/>
  <c r="S72" i="2"/>
  <c r="T72" i="2"/>
  <c r="U72" i="2"/>
  <c r="P71" i="2"/>
  <c r="S71" i="2"/>
  <c r="T71" i="2"/>
  <c r="U71" i="2"/>
  <c r="P70" i="2"/>
  <c r="S70" i="2"/>
  <c r="T70" i="2"/>
  <c r="U70" i="2"/>
  <c r="P69" i="2"/>
  <c r="S69" i="2"/>
  <c r="T69" i="2"/>
  <c r="U69" i="2"/>
  <c r="P68" i="2"/>
  <c r="Q68" i="2"/>
  <c r="P67" i="2"/>
  <c r="S67" i="2"/>
  <c r="T67" i="2"/>
  <c r="U67" i="2"/>
  <c r="P66" i="2"/>
  <c r="S66" i="2"/>
  <c r="T66" i="2"/>
  <c r="U66" i="2"/>
  <c r="P65" i="2"/>
  <c r="S65" i="2"/>
  <c r="T65" i="2"/>
  <c r="U65" i="2"/>
  <c r="P64" i="2"/>
  <c r="Q64" i="2"/>
  <c r="P63" i="2"/>
  <c r="S63" i="2"/>
  <c r="T63" i="2"/>
  <c r="U63" i="2"/>
  <c r="P29" i="2"/>
  <c r="S29" i="2"/>
  <c r="T29" i="2"/>
  <c r="U29" i="2"/>
  <c r="P28" i="2"/>
  <c r="Q28" i="2"/>
  <c r="P27" i="2"/>
  <c r="S27" i="2"/>
  <c r="T27" i="2"/>
  <c r="U27" i="2"/>
  <c r="P26" i="2"/>
  <c r="S26" i="2"/>
  <c r="T26" i="2"/>
  <c r="U26" i="2"/>
  <c r="P25" i="2"/>
  <c r="Q25" i="2"/>
  <c r="P24" i="2"/>
  <c r="S24" i="2"/>
  <c r="T24" i="2"/>
  <c r="U24" i="2"/>
  <c r="P23" i="2"/>
  <c r="S23" i="2"/>
  <c r="T23" i="2"/>
  <c r="U23" i="2"/>
  <c r="P22" i="2"/>
  <c r="S22" i="2"/>
  <c r="T22" i="2"/>
  <c r="U22" i="2"/>
  <c r="P21" i="2"/>
  <c r="Q21" i="2"/>
  <c r="P107" i="2"/>
  <c r="S107" i="2"/>
  <c r="T107" i="2"/>
  <c r="U107" i="2"/>
  <c r="P106" i="2"/>
  <c r="S106" i="2"/>
  <c r="T106" i="2"/>
  <c r="U106" i="2"/>
  <c r="P105" i="2"/>
  <c r="S105" i="2"/>
  <c r="T105" i="2"/>
  <c r="U105" i="2"/>
  <c r="P104" i="2"/>
  <c r="S104" i="2"/>
  <c r="T104" i="2"/>
  <c r="U104" i="2"/>
  <c r="P103" i="2"/>
  <c r="Q103" i="2"/>
  <c r="P102" i="2"/>
  <c r="Q102" i="2"/>
  <c r="P101" i="2"/>
  <c r="S101" i="2"/>
  <c r="T101" i="2"/>
  <c r="U101" i="2"/>
  <c r="P100" i="2"/>
  <c r="S100" i="2"/>
  <c r="T100" i="2"/>
  <c r="U100" i="2"/>
  <c r="P99" i="2"/>
  <c r="Q99" i="2"/>
  <c r="P98" i="2"/>
  <c r="S98" i="2"/>
  <c r="T98" i="2"/>
  <c r="U98" i="2"/>
  <c r="P97" i="2"/>
  <c r="S97" i="2"/>
  <c r="T97" i="2"/>
  <c r="U97" i="2"/>
  <c r="P57" i="2"/>
  <c r="S57" i="2"/>
  <c r="T57" i="2"/>
  <c r="U57" i="2"/>
  <c r="P56" i="2"/>
  <c r="Q56" i="2"/>
  <c r="P55" i="2"/>
  <c r="S55" i="2"/>
  <c r="T55" i="2"/>
  <c r="U55" i="2"/>
  <c r="P54" i="2"/>
  <c r="S54" i="2"/>
  <c r="T54" i="2"/>
  <c r="U54" i="2"/>
  <c r="P38" i="2"/>
  <c r="S38" i="2"/>
  <c r="T38" i="2"/>
  <c r="U38" i="2"/>
  <c r="P37" i="2"/>
  <c r="Q37" i="2"/>
  <c r="P36" i="2"/>
  <c r="S36" i="2"/>
  <c r="T36" i="2"/>
  <c r="U36" i="2"/>
  <c r="P35" i="2"/>
  <c r="S35" i="2"/>
  <c r="T35" i="2"/>
  <c r="U35" i="2"/>
  <c r="P34" i="2"/>
  <c r="Q34" i="2"/>
  <c r="P33" i="2"/>
  <c r="Q33" i="2"/>
  <c r="P32" i="2"/>
  <c r="S32" i="2"/>
  <c r="T32" i="2"/>
  <c r="U32" i="2"/>
  <c r="P31" i="2"/>
  <c r="S31" i="2"/>
  <c r="T31" i="2"/>
  <c r="U31" i="2"/>
  <c r="P30" i="2"/>
  <c r="S30" i="2"/>
  <c r="T30" i="2"/>
  <c r="U30" i="2"/>
  <c r="P62" i="2"/>
  <c r="S62" i="2"/>
  <c r="T62" i="2"/>
  <c r="U62" i="2"/>
  <c r="P61" i="2"/>
  <c r="S61" i="2"/>
  <c r="T61" i="2"/>
  <c r="U61" i="2"/>
  <c r="P60" i="2"/>
  <c r="Q60" i="2"/>
  <c r="P59" i="2"/>
  <c r="S59" i="2"/>
  <c r="T59" i="2"/>
  <c r="U59" i="2"/>
  <c r="P58" i="2"/>
  <c r="S58" i="2"/>
  <c r="T58" i="2"/>
  <c r="U58" i="2"/>
  <c r="P82" i="2"/>
  <c r="Q82" i="2"/>
  <c r="P83" i="2"/>
  <c r="S83" i="2"/>
  <c r="T83" i="2"/>
  <c r="U83" i="2"/>
  <c r="P81" i="2"/>
  <c r="Q81" i="2"/>
  <c r="P80" i="2"/>
  <c r="S80" i="2"/>
  <c r="T80" i="2"/>
  <c r="U80" i="2"/>
  <c r="P79" i="2"/>
  <c r="S79" i="2"/>
  <c r="T79" i="2"/>
  <c r="U79" i="2"/>
  <c r="P78" i="2"/>
  <c r="S78" i="2"/>
  <c r="T78" i="2"/>
  <c r="U78" i="2"/>
  <c r="P84" i="2"/>
  <c r="Q84" i="2"/>
  <c r="P85" i="2"/>
  <c r="Q85" i="2"/>
  <c r="P86" i="2"/>
  <c r="S86" i="2"/>
  <c r="T86" i="2"/>
  <c r="U86" i="2"/>
  <c r="P87" i="2"/>
  <c r="Q87" i="2"/>
  <c r="P88" i="2"/>
  <c r="Q88" i="2"/>
  <c r="P89" i="2"/>
  <c r="S89" i="2"/>
  <c r="T89" i="2"/>
  <c r="U89" i="2"/>
  <c r="P90" i="2"/>
  <c r="S90" i="2"/>
  <c r="T90" i="2"/>
  <c r="U90" i="2"/>
  <c r="P91" i="2"/>
  <c r="Q91" i="2"/>
  <c r="Q92" i="2"/>
  <c r="S92" i="2"/>
  <c r="T92" i="2"/>
  <c r="U92" i="2"/>
  <c r="P93" i="2"/>
  <c r="Q93" i="2"/>
  <c r="P94" i="2"/>
  <c r="Q94" i="2"/>
  <c r="P95" i="2"/>
  <c r="S95" i="2"/>
  <c r="T95" i="2"/>
  <c r="U95" i="2"/>
  <c r="P96" i="2"/>
  <c r="Q96" i="2"/>
  <c r="P53" i="2"/>
  <c r="S53" i="2"/>
  <c r="T53" i="2"/>
  <c r="U53" i="2"/>
  <c r="P52" i="2"/>
  <c r="S52" i="2"/>
  <c r="T52" i="2"/>
  <c r="U52" i="2"/>
  <c r="P51" i="2"/>
  <c r="S51" i="2"/>
  <c r="T51" i="2"/>
  <c r="U51" i="2"/>
  <c r="P50" i="2"/>
  <c r="S50" i="2"/>
  <c r="T50" i="2"/>
  <c r="U50" i="2"/>
  <c r="P49" i="2"/>
  <c r="S49" i="2"/>
  <c r="T49" i="2"/>
  <c r="U49" i="2"/>
  <c r="P48" i="2"/>
  <c r="S48" i="2"/>
  <c r="T48" i="2"/>
  <c r="U48" i="2"/>
  <c r="P47" i="2"/>
  <c r="S47" i="2"/>
  <c r="T47" i="2"/>
  <c r="U47" i="2"/>
  <c r="P46" i="2"/>
  <c r="S46" i="2"/>
  <c r="T46" i="2"/>
  <c r="U46" i="2"/>
  <c r="P45" i="2"/>
  <c r="S45" i="2"/>
  <c r="T45" i="2"/>
  <c r="U45" i="2"/>
  <c r="P44" i="2"/>
  <c r="Q44" i="2"/>
  <c r="P43" i="2"/>
  <c r="Q43" i="2"/>
  <c r="P42" i="2"/>
  <c r="S42" i="2"/>
  <c r="T42" i="2"/>
  <c r="U42" i="2"/>
  <c r="P41" i="2"/>
  <c r="S41" i="2"/>
  <c r="T41" i="2"/>
  <c r="U41" i="2"/>
  <c r="P40" i="2"/>
  <c r="Q40" i="2"/>
  <c r="P39" i="2"/>
  <c r="S39" i="2"/>
  <c r="T39" i="2"/>
  <c r="U39" i="2"/>
  <c r="P10" i="2"/>
  <c r="S10" i="2"/>
  <c r="T10" i="2"/>
  <c r="U10" i="2"/>
  <c r="P11" i="2"/>
  <c r="Q11" i="2"/>
  <c r="P12" i="2"/>
  <c r="Q12" i="2"/>
  <c r="P13" i="2"/>
  <c r="Q13" i="2"/>
  <c r="P14" i="2"/>
  <c r="Q14" i="2"/>
  <c r="P15" i="2"/>
  <c r="S15" i="2"/>
  <c r="T15" i="2"/>
  <c r="U15" i="2"/>
  <c r="P16" i="2"/>
  <c r="Q16" i="2"/>
  <c r="P17" i="2"/>
  <c r="Q17" i="2"/>
  <c r="P18" i="2"/>
  <c r="Q18" i="2"/>
  <c r="P19" i="2"/>
  <c r="Q19" i="2"/>
  <c r="P20" i="2"/>
  <c r="Q20" i="2"/>
  <c r="Q76" i="2"/>
  <c r="S64" i="2"/>
  <c r="T64" i="2"/>
  <c r="U64" i="2"/>
  <c r="Q75" i="2"/>
  <c r="Q63" i="2"/>
  <c r="Q67" i="2"/>
  <c r="S68" i="2"/>
  <c r="T68" i="2"/>
  <c r="U68" i="2"/>
  <c r="Q73" i="2"/>
  <c r="Q65" i="2"/>
  <c r="Q71" i="2"/>
  <c r="Q72" i="2"/>
  <c r="S17" i="2"/>
  <c r="T17" i="2"/>
  <c r="U17" i="2"/>
  <c r="Q69" i="2"/>
  <c r="Q77" i="2"/>
  <c r="Q66" i="2"/>
  <c r="Q70" i="2"/>
  <c r="Q74" i="2"/>
  <c r="Q24" i="2"/>
  <c r="S21" i="2"/>
  <c r="T21" i="2"/>
  <c r="U21" i="2"/>
  <c r="S28" i="2"/>
  <c r="T28" i="2"/>
  <c r="U28" i="2"/>
  <c r="Q100" i="2"/>
  <c r="Q29" i="2"/>
  <c r="S25" i="2"/>
  <c r="T25" i="2"/>
  <c r="U25" i="2"/>
  <c r="Q106" i="2"/>
  <c r="S56" i="2"/>
  <c r="T56" i="2"/>
  <c r="U56" i="2"/>
  <c r="Q98" i="2"/>
  <c r="Q22" i="2"/>
  <c r="Q26" i="2"/>
  <c r="Q23" i="2"/>
  <c r="Q27" i="2"/>
  <c r="Q89" i="2"/>
  <c r="S102" i="2"/>
  <c r="T102" i="2"/>
  <c r="U102" i="2"/>
  <c r="Q57" i="2"/>
  <c r="S99" i="2"/>
  <c r="T99" i="2"/>
  <c r="U99" i="2"/>
  <c r="Q107" i="2"/>
  <c r="Q104" i="2"/>
  <c r="Q30" i="2"/>
  <c r="S103" i="2"/>
  <c r="T103" i="2"/>
  <c r="U103" i="2"/>
  <c r="Q97" i="2"/>
  <c r="Q101" i="2"/>
  <c r="Q105" i="2"/>
  <c r="S34" i="2"/>
  <c r="T34" i="2"/>
  <c r="U34" i="2"/>
  <c r="S37" i="2"/>
  <c r="T37" i="2"/>
  <c r="U37" i="2"/>
  <c r="S33" i="2"/>
  <c r="T33" i="2"/>
  <c r="U33" i="2"/>
  <c r="Q54" i="2"/>
  <c r="Q38" i="2"/>
  <c r="Q55" i="2"/>
  <c r="Q31" i="2"/>
  <c r="Q35" i="2"/>
  <c r="Q32" i="2"/>
  <c r="Q36" i="2"/>
  <c r="Q61" i="2"/>
  <c r="S60" i="2"/>
  <c r="T60" i="2"/>
  <c r="U60" i="2"/>
  <c r="S85" i="2"/>
  <c r="T85" i="2"/>
  <c r="U85" i="2"/>
  <c r="S82" i="2"/>
  <c r="T82" i="2"/>
  <c r="U82" i="2"/>
  <c r="Q58" i="2"/>
  <c r="Q62" i="2"/>
  <c r="Q59" i="2"/>
  <c r="Q90" i="2"/>
  <c r="Q78" i="2"/>
  <c r="S84" i="2"/>
  <c r="T84" i="2"/>
  <c r="U84" i="2"/>
  <c r="S81" i="2"/>
  <c r="T81" i="2"/>
  <c r="U81" i="2"/>
  <c r="Q95" i="2"/>
  <c r="Q79" i="2"/>
  <c r="Q83" i="2"/>
  <c r="Q80" i="2"/>
  <c r="S94" i="2"/>
  <c r="T94" i="2"/>
  <c r="U94" i="2"/>
  <c r="S93" i="2"/>
  <c r="T93" i="2"/>
  <c r="U93" i="2"/>
  <c r="Q86" i="2"/>
  <c r="Q52" i="2"/>
  <c r="S88" i="2"/>
  <c r="T88" i="2"/>
  <c r="U88" i="2"/>
  <c r="S96" i="2"/>
  <c r="T96" i="2"/>
  <c r="U96" i="2"/>
  <c r="S91" i="2"/>
  <c r="T91" i="2"/>
  <c r="U91" i="2"/>
  <c r="S87" i="2"/>
  <c r="T87" i="2"/>
  <c r="U87" i="2"/>
  <c r="Q51" i="2"/>
  <c r="S13" i="2"/>
  <c r="T13" i="2"/>
  <c r="U13" i="2"/>
  <c r="S18" i="2"/>
  <c r="T18" i="2"/>
  <c r="U18" i="2"/>
  <c r="S19" i="2"/>
  <c r="T19" i="2"/>
  <c r="U19" i="2"/>
  <c r="S11" i="2"/>
  <c r="T11" i="2"/>
  <c r="U11" i="2"/>
  <c r="S43" i="2"/>
  <c r="T43" i="2"/>
  <c r="U43" i="2"/>
  <c r="Q10" i="2"/>
  <c r="Q39" i="2"/>
  <c r="S40" i="2"/>
  <c r="T40" i="2"/>
  <c r="U40" i="2"/>
  <c r="Q48" i="2"/>
  <c r="S14" i="2"/>
  <c r="T14" i="2"/>
  <c r="U14" i="2"/>
  <c r="Q41" i="2"/>
  <c r="Q47" i="2"/>
  <c r="Q49" i="2"/>
  <c r="Q45" i="2"/>
  <c r="Q53" i="2"/>
  <c r="S44" i="2"/>
  <c r="T44" i="2"/>
  <c r="U44" i="2"/>
  <c r="S20" i="2"/>
  <c r="T20" i="2"/>
  <c r="U20" i="2"/>
  <c r="Q15" i="2"/>
  <c r="S12" i="2"/>
  <c r="T12" i="2"/>
  <c r="U12" i="2"/>
  <c r="Q42" i="2"/>
  <c r="Q46" i="2"/>
  <c r="Q50" i="2"/>
  <c r="S16" i="2"/>
  <c r="T16" i="2"/>
  <c r="U16" i="2"/>
</calcChain>
</file>

<file path=xl/sharedStrings.xml><?xml version="1.0" encoding="utf-8"?>
<sst xmlns="http://schemas.openxmlformats.org/spreadsheetml/2006/main" count="715" uniqueCount="336">
  <si>
    <t>Sede</t>
  </si>
  <si>
    <t>Proceso</t>
  </si>
  <si>
    <t>Cargo</t>
  </si>
  <si>
    <t>Zona/Lugar</t>
  </si>
  <si>
    <t>Actividades</t>
  </si>
  <si>
    <t>Tareas</t>
  </si>
  <si>
    <t>Rutinaria (Si/No)</t>
  </si>
  <si>
    <t>PELIGRO</t>
  </si>
  <si>
    <t>Efectos Posibles</t>
  </si>
  <si>
    <t>Controles existentes</t>
  </si>
  <si>
    <t>Evaluación de Riesgos</t>
  </si>
  <si>
    <t>Valoracion del riesgo</t>
  </si>
  <si>
    <t>Criterios para establecer controles</t>
  </si>
  <si>
    <t>Medidas de intervención</t>
  </si>
  <si>
    <t>Descripción</t>
  </si>
  <si>
    <t>Clasificación</t>
  </si>
  <si>
    <t>FUENTE</t>
  </si>
  <si>
    <t>MEDIO</t>
  </si>
  <si>
    <t>INDIVIDUO</t>
  </si>
  <si>
    <t>Nivel de deficiencia</t>
  </si>
  <si>
    <t>Nivel de exposición</t>
  </si>
  <si>
    <t>Nivel de probabilidad (ND X NE)</t>
  </si>
  <si>
    <t>Interpretación del nivel de probabilidad</t>
  </si>
  <si>
    <t>Nivel de Consecuencia</t>
  </si>
  <si>
    <t>Nivel de Riesgo</t>
  </si>
  <si>
    <t>Interpretación del NR</t>
  </si>
  <si>
    <t>Aceptabilidad del Riesgo</t>
  </si>
  <si>
    <t>Nro. expuestos</t>
  </si>
  <si>
    <t>Peor consecuencia</t>
  </si>
  <si>
    <t>Eliminación</t>
  </si>
  <si>
    <t>Sustitución</t>
  </si>
  <si>
    <t>Controles de ingeniería,</t>
  </si>
  <si>
    <t>Señalización. advertencia, controles admon.</t>
  </si>
  <si>
    <t>Equipos de protección personal</t>
  </si>
  <si>
    <t>SI</t>
  </si>
  <si>
    <t>Psicosocial</t>
  </si>
  <si>
    <t>Carga física, mental, emocional, acoso laboral, estrés, dolor de cabeza, depresión, alteraciones del comportamiento.</t>
  </si>
  <si>
    <t>Pausas Activas</t>
  </si>
  <si>
    <t>Migraña Crónica, Estrés crónico.</t>
  </si>
  <si>
    <t>Sillas ajustables</t>
  </si>
  <si>
    <t>Fomentar el autocuidado</t>
  </si>
  <si>
    <t>Condición de Seguridad.</t>
  </si>
  <si>
    <t xml:space="preserve">Quemaduras de segundo y tercer grado.  </t>
  </si>
  <si>
    <t>Condiciones de la tarea (carga mental,contenido de la tarea, demanda emosionales, definición de roles, sistemas de control, monotonia.)</t>
  </si>
  <si>
    <t>Implementar medidas de bioseguridad y barreras de protección. Capacitación en el manejo de los residuos y Peligro Biologico. Realizar campañas de fumigación.</t>
  </si>
  <si>
    <t>Radiaciones no Ionizantes</t>
  </si>
  <si>
    <t>Lesiones graves, muertes.</t>
  </si>
  <si>
    <t>Gestión Operativa</t>
  </si>
  <si>
    <t>Biomecánico</t>
  </si>
  <si>
    <t>Moviiento Repetitivo</t>
  </si>
  <si>
    <t>Posturas prologadas sedentes.</t>
  </si>
  <si>
    <t>Dolor de esplada, dolor a nivel de la cintura, dolor de piernas</t>
  </si>
  <si>
    <t>Capacitación sobre higiene postural</t>
  </si>
  <si>
    <t>Lumbago con ciática. Dorsalgia.</t>
  </si>
  <si>
    <t>Establecer sillas ergomómicas cuando lo requiera el puesto de trabajo, luego de ser evaluado por un ergónomo profesional.</t>
  </si>
  <si>
    <t>Capacitación sobre higiene postural. Fomentar el autocuidado.</t>
  </si>
  <si>
    <t>Biológico</t>
  </si>
  <si>
    <t>Enfermedades virales, reacciones alergicas, hongos en la piel.</t>
  </si>
  <si>
    <t>Leptospirosis, Dengue, Fiebre Amarilla.</t>
  </si>
  <si>
    <t>Tapabocas, guantes.</t>
  </si>
  <si>
    <t>Sindrome respiratorio agudo, muerte</t>
  </si>
  <si>
    <t>Mantemiento filtros de aires acondicionados</t>
  </si>
  <si>
    <t>Accidentes de Tránsito</t>
  </si>
  <si>
    <t>Heridas, golpes, contusiones.</t>
  </si>
  <si>
    <t>Revisión Preoperacional de los vehículos.</t>
  </si>
  <si>
    <t>Fomentar el autocuidado . Capacitación en PESV</t>
  </si>
  <si>
    <t>Fracturas graves. Politraumatismos.</t>
  </si>
  <si>
    <t>Público  (Robos, Atracos, Asaltos)</t>
  </si>
  <si>
    <t xml:space="preserve"> Lesiones, dolor de cabeza, golpes.</t>
  </si>
  <si>
    <t>Lesiones graves, Muertes.</t>
  </si>
  <si>
    <t>Capacitación sobre es Riesgo Público. Fomentar el Autocuidado.</t>
  </si>
  <si>
    <t>Virus, Bacterias, Fluidos y Excrementos, Picaduras.</t>
  </si>
  <si>
    <t>Tapabocas, Guamtes.</t>
  </si>
  <si>
    <t>Fenómenos Naturales</t>
  </si>
  <si>
    <t>Precipitaciones (Lluvias)</t>
  </si>
  <si>
    <t>Fiebres, Resfríados, Gripes.</t>
  </si>
  <si>
    <t>Uso de sombrillas e impermeables.</t>
  </si>
  <si>
    <t>Enfermedades Pulmonares Crónicas</t>
  </si>
  <si>
    <t>Revisión Preoperacional de los vehículos. Fomentar el autocuidado.</t>
  </si>
  <si>
    <t>Dar cumplimiento y realizar verificación de todas las odenes del empleador. Hacer seguimiento al personal que se tiene a cargo.</t>
  </si>
  <si>
    <t>Realizar seguimiento a todas las actividades que están a cargo del personal de cada uno de ellos.</t>
  </si>
  <si>
    <t xml:space="preserve">Diseñar e implementar el SG-SST.  </t>
  </si>
  <si>
    <t>Verificar el cumplimiento del Sg-Sst alineado a la normatividad legal vigente. Prevenir E.L y A.T, Promover estilos de vida saludable. Identificar los riesgos y establecer controles de acuerdo a la actividad que se realice.</t>
  </si>
  <si>
    <t>Fomentar el autocuidado .</t>
  </si>
  <si>
    <t>Trabajo en Alturas</t>
  </si>
  <si>
    <t>Caídas, Lesiones, Golpes.</t>
  </si>
  <si>
    <t>Arnés de Seguridad</t>
  </si>
  <si>
    <t>Demarcación de área. Curso certificado en Trabajo de Altura.</t>
  </si>
  <si>
    <t>Elementos de protección contra caídas.</t>
  </si>
  <si>
    <t>Físico</t>
  </si>
  <si>
    <t>Insolación, irritación en los ojos, cefalea</t>
  </si>
  <si>
    <t>Gafas de seguridad.  Uso de bloqueador solar.</t>
  </si>
  <si>
    <t>Quemadura solar, Neoplasias malignas en la piel.</t>
  </si>
  <si>
    <t>Fomentar el autocuidado, Usar bloqueador solar.</t>
  </si>
  <si>
    <t>Ropa de trabajo adecuada.</t>
  </si>
  <si>
    <t>Golpes, contusiones, epasmo muscular, heridas.</t>
  </si>
  <si>
    <t>Guantes tipo ingeniero, Ropa de trabajo.</t>
  </si>
  <si>
    <t>Fracturas Graves.</t>
  </si>
  <si>
    <t>Ropa de trabajo adecuada</t>
  </si>
  <si>
    <t>Públicos (Robos, atracos, asaltos, desrodenes públicos)</t>
  </si>
  <si>
    <t>Posturas forzadas y movimientos repetitivos de miembros superiores.</t>
  </si>
  <si>
    <t>Dolor de esplada, dolor a nivel de la cintura, dolor en los hombros.</t>
  </si>
  <si>
    <t>Síndrome de manguito rotador, lesiones de hombros no especificadas.</t>
  </si>
  <si>
    <t>Fomentar el autocuidado. Realizar pausas activas</t>
  </si>
  <si>
    <t>Manipulación manual de cargas</t>
  </si>
  <si>
    <t>Lesiones osteomusculares</t>
  </si>
  <si>
    <t>Lesiones de hombro, Tendinitis bicipital.</t>
  </si>
  <si>
    <t>Evitar movimientos bruscos. Cpacitación sobre el manejo de cargas manual.</t>
  </si>
  <si>
    <t>Químico</t>
  </si>
  <si>
    <t>Gases y Vapores , productos químicos líquidos</t>
  </si>
  <si>
    <t>Reacciones alérgicas, Tos, salpullido en la piel.</t>
  </si>
  <si>
    <t>Guantes y Tapabocas.</t>
  </si>
  <si>
    <t>Capacitación sobre Riesgo químico y todos sus derivados.</t>
  </si>
  <si>
    <t>Mascarilla con filtro, Guantes, Tapabocas.</t>
  </si>
  <si>
    <t>Gafas de seguridad.</t>
  </si>
  <si>
    <t>Trabajos en Caliente</t>
  </si>
  <si>
    <t>Quemaduras de primer grado.</t>
  </si>
  <si>
    <t>Mantenimiento preventivo de equipos de soldadura.</t>
  </si>
  <si>
    <t>Capacitación en higiene postural, Realizar pausas activas</t>
  </si>
  <si>
    <t>Realizar pausas activas.</t>
  </si>
  <si>
    <t>Estrés, dolor de cabeza, carga física y mental, alteración en el comportamiento.</t>
  </si>
  <si>
    <t>Síndrome de túnel carpiano.</t>
  </si>
  <si>
    <t>Fracturas graves, Contusiones.</t>
  </si>
  <si>
    <t>Supernumeraríos y Oficios Varios</t>
  </si>
  <si>
    <t>Todas las áeas de la sede que lo requiera</t>
  </si>
  <si>
    <t>Realizar mantemiento y limpieza a todas las instalaciones de la sede de acuerdo a las necesidades encontradas.</t>
  </si>
  <si>
    <t>Realizar poda de árboles, pintar los techos, paredes y demás que lo requiera,  Barrer y mantener limpia toda la sede. Realizar los manteminimientos que se requieran.</t>
  </si>
  <si>
    <t>Mecánico ( elementos de maquinas, Trabajo con herramientas de corte, Piezas a trabajar)</t>
  </si>
  <si>
    <t>SEDE PRINCIPAL</t>
  </si>
  <si>
    <t>uso de tapabocas</t>
  </si>
  <si>
    <t>Cumplimiento de protocolo de bioseguridad</t>
  </si>
  <si>
    <t>Capacitacion sobre la importancia de realizar pausas activas</t>
  </si>
  <si>
    <t xml:space="preserve">esquema de vacunacion completo      </t>
  </si>
  <si>
    <t>sintomas gripales</t>
  </si>
  <si>
    <t>protocolo de bioseguridad</t>
  </si>
  <si>
    <t xml:space="preserve">esquema de vacunacion completo   </t>
  </si>
  <si>
    <t>esquema de vacunacion completo</t>
  </si>
  <si>
    <t>Gripe, dolores musculares</t>
  </si>
  <si>
    <t>Uso de tapabocas</t>
  </si>
  <si>
    <t>Protocolo de Bioseguridad para covid 19</t>
  </si>
  <si>
    <t>posible gripe</t>
  </si>
  <si>
    <t>Pausas activas, durante la jornada laboral</t>
  </si>
  <si>
    <t>Condiciones de la tarea (carga mental, estres, ansiedad)</t>
  </si>
  <si>
    <t>dolor de cabeza, fatiga, cansancio</t>
  </si>
  <si>
    <t>Sintomas gripales</t>
  </si>
  <si>
    <t>Electrico</t>
  </si>
  <si>
    <t>Alta y baja tensión, estatica</t>
  </si>
  <si>
    <t>Quemaduras de I a III grado, paro cardiorespiratorio, fibrilación ventricular, perdida de consiencia, daños neurologicos, caidas derivadas de choque electrico, amputaciones por quemaduras electricas y muerte por electrocución</t>
  </si>
  <si>
    <t>EPP dielectricos</t>
  </si>
  <si>
    <t>Muerte por electrocución, quemaduras de 3° Nivel, Amputación por electrocución.</t>
  </si>
  <si>
    <t>Reponsable Del SG-SST</t>
  </si>
  <si>
    <t>Gerente</t>
  </si>
  <si>
    <t>Procesos Administrativos</t>
  </si>
  <si>
    <t>Procesos Operativos</t>
  </si>
  <si>
    <t>PROCESO DE GESTION INTEGRAL</t>
  </si>
  <si>
    <t>MATRIZ DE PELIGRO</t>
  </si>
  <si>
    <t>CODIGO: PG-FO-019</t>
  </si>
  <si>
    <t>Baja definitiva del equipo eléctrico involucrado y de todos los equipos similares.</t>
  </si>
  <si>
    <t>Reemplazo por hidrolavadora a combustión para evitar riesgo eléctrico en áreas húmedas.</t>
  </si>
  <si>
    <t>Verificación de puesta a tierra, protecciones diferenciales, señalización y drenaje en zonas de trabajo.</t>
  </si>
  <si>
    <t>12 seciones de capacitaciónes en riesgo electrico con la ARL, creación de procedimientos y permisos de trabajo.</t>
  </si>
  <si>
    <t>Uso obligatorio de guantes dieléctricos, botas aislantes y demás equipos de protección eléctrica.</t>
  </si>
  <si>
    <t>REV. 06 Junio 04 de 2025</t>
  </si>
  <si>
    <t>Mecanico ( elementos de maquinas, Trabajo con herramientas de corte, Piezas a trabajar)</t>
  </si>
  <si>
    <t>Eléctrico (baja tenión, estática)</t>
  </si>
  <si>
    <t>Corrientazos.</t>
  </si>
  <si>
    <t>Guantes dieléctricos, botas dieléctricas, Ropa de trabajo.</t>
  </si>
  <si>
    <t>Electrocución, Muerte.</t>
  </si>
  <si>
    <t>Demarcación de área.</t>
  </si>
  <si>
    <t>Tecnologico (Corto circuito, Incendio)</t>
  </si>
  <si>
    <t>Quemaduras d e  primer grado.</t>
  </si>
  <si>
    <t>Mantenimiento preventivo de equipos e instalaciones eléctricas.</t>
  </si>
  <si>
    <t>EPI</t>
  </si>
  <si>
    <r>
      <rPr>
        <sz val="18"/>
        <color indexed="8"/>
        <rFont val="Calibri"/>
        <family val="2"/>
      </rPr>
      <t>sintomas gripale</t>
    </r>
    <r>
      <rPr>
        <sz val="18"/>
        <color indexed="8"/>
        <rFont val="Calibri"/>
        <family val="2"/>
      </rPr>
      <t>s</t>
    </r>
  </si>
  <si>
    <r>
      <rPr>
        <sz val="18"/>
        <color indexed="8"/>
        <rFont val="Calibri"/>
        <family val="2"/>
      </rPr>
      <t>protocolo de bioseguridad</t>
    </r>
  </si>
  <si>
    <t>esquema de vacunacion completo      (2 dosis y refuerzo)</t>
  </si>
  <si>
    <t>Protocolo de Bioseguridad para Covid-19</t>
  </si>
  <si>
    <t>manejo de control de bioseguridad</t>
  </si>
  <si>
    <t>Temperaturas Extremas (Frío)</t>
  </si>
  <si>
    <t>Resfríados, hipotermina leve.</t>
  </si>
  <si>
    <t>Ropa adecuada para trabajos en cuartos fríos.. Pausas activas.</t>
  </si>
  <si>
    <t>Hipotermina extrema, Enfermedades pulmonares crónicas.</t>
  </si>
  <si>
    <t>Pausas activas. Fomentar el autocuidado.</t>
  </si>
  <si>
    <t>Ropa adecuada para trabajos en cuartos fríos..</t>
  </si>
  <si>
    <t>Capacitacíon de primeros auxilios.</t>
  </si>
  <si>
    <t>Ropa de trabajo adecuada, zapatos antideslizantes.</t>
  </si>
  <si>
    <t>Manteminiento y Carpintería (Mecanico mantenimiento, ayudante de mantenimiento y auxiliar de mantenimiento, Plomería, Electricidad, Soldadura, Refrigeración, Carpintero, Construcción-Interventor)</t>
  </si>
  <si>
    <t>Áreas especificas de la sede que lo requiera</t>
  </si>
  <si>
    <t>Realizar mantemiento a todas las instalaciones de la sede de acuerdo a las necesidades encontradas.</t>
  </si>
  <si>
    <t>Realizar mantemiento en los aires acondicionados, en el cableado eléctrico, trabajos de plomería, trabajos de pintura y carpintería, soldadura entre otras.</t>
  </si>
  <si>
    <t>Sindrome Respiratorio Agudo</t>
  </si>
  <si>
    <t>SPORTGYM</t>
  </si>
  <si>
    <t>Instructores</t>
  </si>
  <si>
    <t>Gimnasio</t>
  </si>
  <si>
    <t>Dar clases</t>
  </si>
  <si>
    <t>Entrenar a los usuarios de acuerdo a sus necesidades físicas, realizar rutinas de rumbaterapia, brindar sus servicios a quien lo requiera dentro del Gimnasio</t>
  </si>
  <si>
    <t>Posturas forzadas y movimientos repetitivos de miembros superiores e inferiores.</t>
  </si>
  <si>
    <t>Desgarres musculares, golpes, caídas, molestia articular</t>
  </si>
  <si>
    <t>Realizar pausas activas, evitar los movimientos inadeucados.</t>
  </si>
  <si>
    <t>Fractura, desgarre muscular, hematomas musculares.</t>
  </si>
  <si>
    <t>Capacitación sobre riesgo biomecánico e higiene postural.</t>
  </si>
  <si>
    <t>Uso de ropa adecuada y cómoda para la tarea.</t>
  </si>
  <si>
    <t>Esfuerzo de la voz</t>
  </si>
  <si>
    <t>Dolor de garganta, difonía</t>
  </si>
  <si>
    <t>Pausas activas varias veces en la jorada laboral.</t>
  </si>
  <si>
    <t>Afonía (pérdida de la voz), Laringitis crónica</t>
  </si>
  <si>
    <t>Pausas activas varias veces en la jornada de trabajo.</t>
  </si>
  <si>
    <t>Público (Robos, atracos, desorden público)</t>
  </si>
  <si>
    <t>Heridas, golpes.</t>
  </si>
  <si>
    <t>Instalación de cámaras de seguridad.</t>
  </si>
  <si>
    <t>Fomentar el autocuidado.</t>
  </si>
  <si>
    <t>Capacitación del riesgo público. Charlas sobre manejos de conflictos.</t>
  </si>
  <si>
    <t xml:space="preserve">esquema de vacunacion completo     </t>
  </si>
  <si>
    <t>Virus, Bacterias, Hongos.</t>
  </si>
  <si>
    <t>Enfermedades virales.</t>
  </si>
  <si>
    <t>Uso de tapabocas cunando se requiera</t>
  </si>
  <si>
    <t>Leptospirosis, Dengue, Fiebre amarilla.</t>
  </si>
  <si>
    <t>Tapabocas.</t>
  </si>
  <si>
    <t>Transportar y velar por el buen estado de la mercancía durante el transporte, entregar la documentación correspondiente y recoger las firmas de recibido en cada sede, con el fin de tener presente el soporte de entrega, brindar un servicio de movilidad eficiente, seguro y cumpliendo las buenas prácticas de manufactura (BPM).</t>
  </si>
  <si>
    <t>Posturas prolongadas sedentes.</t>
  </si>
  <si>
    <t>Dolor a nivel de cintura y espalda, Dolor de cabeza, Molestia articular.</t>
  </si>
  <si>
    <t>Alteraciones severas en la columna vertebral con compromiso de la medula espinal</t>
  </si>
  <si>
    <t>Malas posturas</t>
  </si>
  <si>
    <t>Dolor lumbar, espasmos.</t>
  </si>
  <si>
    <t>capacitaciones sobre higiene postural</t>
  </si>
  <si>
    <t>Escoliosis.</t>
  </si>
  <si>
    <t>Capacitación en higiene postural, Realizar pausas activas.</t>
  </si>
  <si>
    <t xml:space="preserve">Condiciones de Seguridad  </t>
  </si>
  <si>
    <t xml:space="preserve">heridas ,lesiones superficiales </t>
  </si>
  <si>
    <t>Diseño de rutogramas para visitar sedes</t>
  </si>
  <si>
    <t>Muerte</t>
  </si>
  <si>
    <t>Camaras de Seguridad, GPS</t>
  </si>
  <si>
    <t>Accidentes de transitos</t>
  </si>
  <si>
    <t>Politraumatismos</t>
  </si>
  <si>
    <t>bolsas airbag</t>
  </si>
  <si>
    <t xml:space="preserve">Fractura de huesos largo, trauma cráneo encefálico </t>
  </si>
  <si>
    <t xml:space="preserve">Capacitación en manejo defesivo, </t>
  </si>
  <si>
    <t>agotamiento mental, cefalea.</t>
  </si>
  <si>
    <t xml:space="preserve">Capacitación manejo del estrés </t>
  </si>
  <si>
    <t>Oficina</t>
  </si>
  <si>
    <t>Condiciones de la tarea (carga mental,contenido de la tarea,  definición de roles, sistemas de control, monotonia.)</t>
  </si>
  <si>
    <t>Estrés crónico. Depresión.</t>
  </si>
  <si>
    <t>Dolor de muñecas y dedos, dolor en el cuello.</t>
  </si>
  <si>
    <t>Locativo (Caída a nivel)</t>
  </si>
  <si>
    <t>Golpes y conrusiones.</t>
  </si>
  <si>
    <t>Fomentar el autocuidado, Señalización de advertencia y prevención.</t>
  </si>
  <si>
    <t>Golpes, heridas,</t>
  </si>
  <si>
    <t>Señalización</t>
  </si>
  <si>
    <t>Fracturas graves, Contusiones, Muerte.</t>
  </si>
  <si>
    <t>Fomentar el autocuidado, Capacitación sobre Seguridad víal</t>
  </si>
  <si>
    <t>Publico (atracos, robos, vandalismo)</t>
  </si>
  <si>
    <t>Fomentar la seguridad y el autocuiado., Capacitación sobre riesgo público.</t>
  </si>
  <si>
    <t>Fenómenos naturales</t>
  </si>
  <si>
    <t>Precipitaciones (Lluvias, Tormentas eléctricas)</t>
  </si>
  <si>
    <t>Hipotermia grave</t>
  </si>
  <si>
    <t>Uso de sombrillas e impermeables</t>
  </si>
  <si>
    <t>Virus, baterias, picaduras, mordeduras.</t>
  </si>
  <si>
    <t>Enfermedades virales</t>
  </si>
  <si>
    <t>Uso de guante y Tapabocas</t>
  </si>
  <si>
    <t>Uso de guantes y Tapabocas.</t>
  </si>
  <si>
    <t>Atención al Cliente, Gestión Telefonica, Gestión Documental, Documentos Fisicos y Magneticos, Digitación de Información</t>
  </si>
  <si>
    <t>Información telefonica de acuerdo a las necesidades del cliente y jefes inmediatos, manejo y archivo de documentos,  digitación de cartas de acuerdo a solicitud del jefe inmediato, manejo de sistema ofimático</t>
  </si>
  <si>
    <t>Aux. administrativo, gestion documental, afiliacion de empresas, auditoria, deportes y asesor comercial</t>
  </si>
  <si>
    <t>Conductor de vehiculo y mensajero</t>
  </si>
  <si>
    <t>Conducir el vehículo de manera responsable a través del seguimiento de normas del reglamento de tránsito, con el fin de llevar a cabo un transporte seguro y confiable en las vías del Departamento del Atlántico., Distribuir insumos, materiales y mercancías a partir de un pedido a cada una de las sedes de la Caja.</t>
  </si>
  <si>
    <t>Revisar y ejecutar los planos, para llevar a cabo  el paso a paso de la obra controlando su debido funcionamiento</t>
  </si>
  <si>
    <t>Emitir informes periódicos al jefe directo y ejecutar las ordenes que brinda el empleador.</t>
  </si>
  <si>
    <t>Ruido (intermitente por la retroexcavadora)</t>
  </si>
  <si>
    <t>Dolor de cabeza</t>
  </si>
  <si>
    <t>Uso de protector auditivo</t>
  </si>
  <si>
    <t>Sordera parcial, hipoacusia</t>
  </si>
  <si>
    <t>Capacitación sobre Riesgo físico</t>
  </si>
  <si>
    <t>Uso de protectores auditivos</t>
  </si>
  <si>
    <t>Vibración /segmentaría)</t>
  </si>
  <si>
    <t>Molestia articular</t>
  </si>
  <si>
    <t>Uso de guantes tipo ingeniero, realizar pausas activas.</t>
  </si>
  <si>
    <t>Enfermedad de Raynaud</t>
  </si>
  <si>
    <t>Uso de guantes tipo ingeniero</t>
  </si>
  <si>
    <t>protocolo de bioseguridad para covid 19</t>
  </si>
  <si>
    <t>sindrome respiratorio agudo, muerte</t>
  </si>
  <si>
    <t>Residente de obra</t>
  </si>
  <si>
    <t>Aulas de clases</t>
  </si>
  <si>
    <t>Planear la formación específica y orientar los procesos de enseñanza, aprendizaje y evaluación acordes con los nuevos modelos educativos, aplicando diferentes técnicas de enseñanza y desarrollando modelos de aprendizaje dentro de enfoques apropiados para el logro de las competencias en sus estudiantes, verificando la calidad de la formación a través de procesos evaluativos e informando sobre los resultados a la coordinación académica.</t>
  </si>
  <si>
    <t>Disfonía, Nodulos</t>
  </si>
  <si>
    <t>Pausas activas. Capacitación en manejo de la voz.</t>
  </si>
  <si>
    <t>Afonía (pérdida de la voz)</t>
  </si>
  <si>
    <t>Seguimiento con el personal expuesto, verificacion de las pausas activas.</t>
  </si>
  <si>
    <t>Postura (prolongada mantenida, forzaqda), Movimiento repetitivo.</t>
  </si>
  <si>
    <t>Dolor de esplada, dolor a nivel de la cintura, molestia en manos y miñecas.</t>
  </si>
  <si>
    <t>Capacitación de higiene postural. Pausas Activas</t>
  </si>
  <si>
    <t>Síndrome del túnel carpiano, Lumbago con ciática.</t>
  </si>
  <si>
    <t>Establecer sillas ergomómicas cuando lo requiera el puesto de trabajo, luego de ser evaluado por un engónoo profesional.</t>
  </si>
  <si>
    <t>Realizar  pausas activas . Capacitación sobre higiene postural.</t>
  </si>
  <si>
    <t>Locativo (caidas de personas)</t>
  </si>
  <si>
    <t>Heridas, golpes, caídas.</t>
  </si>
  <si>
    <t>Fundición de antideslizantes en las escaleras y demarcación en la zona peatonal.</t>
  </si>
  <si>
    <t>Capacitación en el fomento de autocuidado</t>
  </si>
  <si>
    <t>Politraumatismos producidos por las caídas.</t>
  </si>
  <si>
    <t>Realizar mantenimiento oportuno a la infraestructura.</t>
  </si>
  <si>
    <t>Señalización del sendero peatonal</t>
  </si>
  <si>
    <t>Virus, Hongos, Fluidos y Escrementos</t>
  </si>
  <si>
    <t xml:space="preserve">Picaduras, enfermedades virales, enfermedad cutanea y parasitarias, reacciones alergicas,  </t>
  </si>
  <si>
    <t>Fumigación</t>
  </si>
  <si>
    <t>Dengue, fiebre amarilla,  leptospirosis, vomitos.</t>
  </si>
  <si>
    <t>Seguimiento del cumplimiento de las medidas de bioseguridad</t>
  </si>
  <si>
    <t>Temperaturas Calor y Frio.</t>
  </si>
  <si>
    <t>Quemaduras en la piel, Irritación.</t>
  </si>
  <si>
    <t>EPP Guantes, cofias, tapabocas, delantal plástico, ropa de trabajo, zapatos antideslizantes para cocineros</t>
  </si>
  <si>
    <t>Quemadura de segundo y tercer grado, Muerte</t>
  </si>
  <si>
    <t>Implementar medidas de bioseguridad y barreras de protección. Capacitación en el manejo de los residuos y riesgo Biológico</t>
  </si>
  <si>
    <t>Uso de Guantes  y Tapabocas, cofias, ropa de trabajo, delantal de plástico, zapatos antideslizantes para cocineros.</t>
  </si>
  <si>
    <t>Iluminación (por exceso o deficiencia)</t>
  </si>
  <si>
    <t>Alteraciones visuales, cefaleas, accidentes de trabajo.</t>
  </si>
  <si>
    <t>Pausas activas visuales</t>
  </si>
  <si>
    <t>Migraña Crónica</t>
  </si>
  <si>
    <t>Pausas activas visuales.</t>
  </si>
  <si>
    <t>Publico (Accidentes de transito)</t>
  </si>
  <si>
    <t>Heridas, golpes, traumas.</t>
  </si>
  <si>
    <t>Señalización de la zona peatonal.</t>
  </si>
  <si>
    <t>Politraumatismos por accidente de tránsito</t>
  </si>
  <si>
    <t>Señalización del sendero peatonal.</t>
  </si>
  <si>
    <t>Desplazamientos,caida desnivel.</t>
  </si>
  <si>
    <t>Heridas, traumas, fracturas golpes</t>
  </si>
  <si>
    <t>Vendavales, arroyos, inundaciones</t>
  </si>
  <si>
    <t>Daños a la infraestructura, caídas por presencia del agua.</t>
  </si>
  <si>
    <t>Ahogamientos, fracturas, muerte.</t>
  </si>
  <si>
    <t>Diseño y ejecución del Plan de prevención, preparación y respuesta ante  emergencias. Conformación de las brigadas de emergencias.</t>
  </si>
  <si>
    <t>Caracteristicas de la organización del trabajo (comunicación, tecnologia, organización del trabajo, demandas cualitativas y cuantitativas de la labor), Monotonia, carga mental.</t>
  </si>
  <si>
    <t>CORPORACIÓN EDUCATIVA</t>
  </si>
  <si>
    <t>Gestión administrativa</t>
  </si>
  <si>
    <t>Docentes, talleristas, asesores, Instructores, Entrenador</t>
  </si>
  <si>
    <t>Fracturas graves,  Muerte.</t>
  </si>
  <si>
    <t>Aux SG-SST</t>
  </si>
  <si>
    <t>SEDE CARIBE</t>
  </si>
  <si>
    <t>Gestión operativa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</si>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</sst>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1" x14ac:knownFonts="1">
    <font>
      <sz val="11"/>
      <color rgb="FF000000"/>
      <name val="Calibri"/>
      <family val="2"/>
    </font>
    <font>
      <sz val="18"/>
      <color indexed="8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  <font>
      <sz val="18"/>
      <color rgb="FF333333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B050"/>
        <bgColor rgb="FF00B050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3366"/>
      </patternFill>
    </fill>
    <fill>
      <patternFill patternType="solid">
        <fgColor theme="4" tint="0.59999389629810485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8000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</borders>
  <cellStyleXfs count="35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2" fillId="6" borderId="0" applyNumberFormat="0" applyFont="0" applyBorder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Font="0" applyBorder="0" applyProtection="0"/>
    <xf numFmtId="0" fontId="2" fillId="8" borderId="0" applyNumberFormat="0" applyFont="0" applyBorder="0" applyProtection="0"/>
    <xf numFmtId="0" fontId="2" fillId="8" borderId="0" applyNumberFormat="0" applyFont="0" applyBorder="0" applyProtection="0"/>
    <xf numFmtId="0" fontId="6" fillId="0" borderId="0" applyNumberFormat="0" applyBorder="0" applyProtection="0"/>
    <xf numFmtId="0" fontId="2" fillId="6" borderId="0" applyNumberFormat="0" applyFont="0" applyBorder="0" applyProtection="0"/>
    <xf numFmtId="0" fontId="2" fillId="7" borderId="0" applyNumberFormat="0" applyFont="0" applyBorder="0" applyProtection="0"/>
    <xf numFmtId="0" fontId="6" fillId="0" borderId="0" applyNumberFormat="0" applyBorder="0" applyProtection="0"/>
    <xf numFmtId="0" fontId="6" fillId="0" borderId="0" applyNumberFormat="0" applyBorder="0" applyAlignment="0" applyProtection="0"/>
    <xf numFmtId="0" fontId="7" fillId="10" borderId="0" applyNumberFormat="0" applyBorder="0" applyProtection="0"/>
    <xf numFmtId="0" fontId="2" fillId="11" borderId="0" applyNumberFormat="0" applyFont="0" applyBorder="0" applyProtection="0"/>
    <xf numFmtId="0" fontId="8" fillId="0" borderId="0" applyNumberFormat="0" applyBorder="0" applyProtection="0"/>
    <xf numFmtId="0" fontId="9" fillId="12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13" borderId="0" applyNumberFormat="0" applyBorder="0" applyProtection="0"/>
    <xf numFmtId="0" fontId="15" fillId="0" borderId="0" applyNumberFormat="0" applyBorder="0" applyProtection="0"/>
    <xf numFmtId="0" fontId="15" fillId="0" borderId="0" applyNumberFormat="0" applyBorder="0" applyProtection="0"/>
    <xf numFmtId="0" fontId="16" fillId="13" borderId="3" applyNumberFormat="0" applyProtection="0"/>
    <xf numFmtId="0" fontId="17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</cellStyleXfs>
  <cellXfs count="42">
    <xf numFmtId="0" fontId="0" fillId="0" borderId="0" xfId="0"/>
    <xf numFmtId="0" fontId="11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8" fillId="14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/>
    </xf>
    <xf numFmtId="164" fontId="18" fillId="0" borderId="4" xfId="0" applyNumberFormat="1" applyFont="1" applyFill="1" applyBorder="1" applyAlignment="1">
      <alignment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0" fontId="11" fillId="14" borderId="0" xfId="0" applyFont="1" applyFill="1"/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5" borderId="0" xfId="0" applyFont="1" applyFill="1"/>
    <xf numFmtId="0" fontId="19" fillId="16" borderId="1" xfId="0" applyFont="1" applyFill="1" applyBorder="1" applyAlignment="1" applyProtection="1">
      <alignment horizontal="center" vertical="center" wrapText="1"/>
    </xf>
    <xf numFmtId="0" fontId="19" fillId="17" borderId="1" xfId="0" applyFont="1" applyFill="1" applyBorder="1" applyAlignment="1" applyProtection="1">
      <alignment horizontal="center" vertical="center" textRotation="90"/>
    </xf>
    <xf numFmtId="0" fontId="19" fillId="17" borderId="1" xfId="0" applyFont="1" applyFill="1" applyBorder="1" applyAlignment="1" applyProtection="1">
      <alignment horizontal="center" vertical="center" textRotation="90" wrapText="1"/>
    </xf>
    <xf numFmtId="0" fontId="19" fillId="16" borderId="1" xfId="0" applyFont="1" applyFill="1" applyBorder="1" applyAlignment="1" applyProtection="1">
      <alignment horizontal="center" vertical="center" textRotation="90"/>
    </xf>
    <xf numFmtId="0" fontId="19" fillId="1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textRotation="90" wrapText="1"/>
    </xf>
    <xf numFmtId="0" fontId="18" fillId="0" borderId="1" xfId="0" applyFont="1" applyBorder="1" applyAlignment="1">
      <alignment horizontal="center" vertical="center" textRotation="90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8" fillId="0" borderId="1" xfId="27" applyFont="1" applyFill="1" applyBorder="1" applyAlignment="1" applyProtection="1">
      <alignment horizontal="center" vertical="center" textRotation="90" wrapText="1"/>
    </xf>
    <xf numFmtId="0" fontId="19" fillId="16" borderId="1" xfId="0" applyFont="1" applyFill="1" applyBorder="1" applyAlignment="1" applyProtection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 applyProtection="1">
      <alignment horizontal="center" vertical="center" textRotation="90" wrapText="1"/>
    </xf>
    <xf numFmtId="0" fontId="11" fillId="0" borderId="2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35">
    <cellStyle name="Accent" xfId="1" xr:uid="{6E9FC4A2-7918-4906-A121-C446B8EFFFAC}"/>
    <cellStyle name="Accent 1" xfId="2" xr:uid="{C84360F7-7F7D-4A50-B985-6F1B39DD1541}"/>
    <cellStyle name="Accent 2" xfId="3" xr:uid="{0FF3E348-9BC6-4186-9291-8D17C3091E7C}"/>
    <cellStyle name="Accent 3" xfId="4" xr:uid="{D1CE4D82-78DC-4BF0-B548-4A1C54554749}"/>
    <cellStyle name="Bad" xfId="5" xr:uid="{52754F50-422A-4399-A307-A01E6E15DE1B}"/>
    <cellStyle name="cf1" xfId="6" xr:uid="{79008F4A-C9FB-4F51-A654-54BD5884D5D9}"/>
    <cellStyle name="cf10" xfId="7" xr:uid="{17F506DC-F9EB-4DE6-96B0-BC406E29C84B}"/>
    <cellStyle name="cf11" xfId="8" xr:uid="{5975B78F-9C4D-47C7-883A-079278F3C3CB}"/>
    <cellStyle name="cf12" xfId="9" xr:uid="{95D560EB-E722-4736-AE28-1527EDB15BA4}"/>
    <cellStyle name="cf2" xfId="10" xr:uid="{5BA328F7-A4BC-4C25-9B97-2B28FCA36221}"/>
    <cellStyle name="cf3" xfId="11" xr:uid="{F3F002EB-B268-4E9E-BC17-40F420D5878E}"/>
    <cellStyle name="cf4" xfId="12" xr:uid="{D4AC4027-98EC-458F-AF34-19969DF07340}"/>
    <cellStyle name="cf5" xfId="13" xr:uid="{EFE12F76-BA55-46CB-8D46-3C2E892D10E8}"/>
    <cellStyle name="cf6" xfId="14" xr:uid="{5CEAC9E2-DDA2-4CB2-9090-988B5728993B}"/>
    <cellStyle name="cf7" xfId="15" xr:uid="{15824BAF-9055-4F47-ACE1-8FFE10F30E0B}"/>
    <cellStyle name="cf8" xfId="16" xr:uid="{042E0BE0-1155-4AF3-8CB0-318B8C701310}"/>
    <cellStyle name="cf9" xfId="17" xr:uid="{2ED69E21-09BE-44E2-9E7C-521C14D7A699}"/>
    <cellStyle name="Error" xfId="18" xr:uid="{CC14E871-1B8E-47A7-88A1-05D2F521FC67}"/>
    <cellStyle name="Excel_CondFormat_1_1_1" xfId="19" xr:uid="{E748B255-1009-4E0F-A002-466D5AB633C9}"/>
    <cellStyle name="Footnote" xfId="20" xr:uid="{361228FF-CFC9-47B8-9521-4ADB90D5D769}"/>
    <cellStyle name="Good" xfId="21" xr:uid="{307C713A-027D-4033-84D4-24FF784FF1C6}"/>
    <cellStyle name="Heading" xfId="22" xr:uid="{F379414C-47CD-41F6-B6A7-5284589A7F23}"/>
    <cellStyle name="Heading 1" xfId="23" xr:uid="{254151E4-1A91-425B-AB71-EC07E0DB8F82}"/>
    <cellStyle name="Heading 2" xfId="24" xr:uid="{A757F036-9E12-4BB2-B7CC-90DF89F56724}"/>
    <cellStyle name="Hyperlink" xfId="25" xr:uid="{ECCBBE5D-42B5-4FE5-9782-232A51349ADE}"/>
    <cellStyle name="Neutral" xfId="26" builtinId="28" customBuiltin="1"/>
    <cellStyle name="Normal" xfId="0" builtinId="0" customBuiltin="1"/>
    <cellStyle name="Normal 2" xfId="27" xr:uid="{01AA6F36-3A48-4A93-977E-8B48A067EB9B}"/>
    <cellStyle name="Normal 4" xfId="28" xr:uid="{0919181F-A922-4063-940B-B2E114CA49E2}"/>
    <cellStyle name="Note" xfId="29" xr:uid="{9A4447D9-DD83-4BA2-B119-A8E87D9754AD}"/>
    <cellStyle name="Result" xfId="30" xr:uid="{5B869589-83B5-4F13-9007-66BC2581D23E}"/>
    <cellStyle name="Sin título1" xfId="31" xr:uid="{011A93DA-4EF7-472C-91D1-14F3F094C0A1}"/>
    <cellStyle name="Status" xfId="32" xr:uid="{A560A9E9-1C24-473E-8D5D-EF83ADB3CED1}"/>
    <cellStyle name="Text" xfId="33" xr:uid="{359184FD-57C9-4D67-B474-EBE8AD8EADC2}"/>
    <cellStyle name="Warning" xfId="34" xr:uid="{9B533971-DA64-4FE6-9E20-18B925846661}"/>
  </cellStyles>
  <dxfs count="6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2D050"/>
      </font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78A7-D5FE-4220-82E5-72423085016F}">
  <dimension ref="A1:BL303"/>
  <sheetViews>
    <sheetView tabSelected="1" view="pageBreakPreview" zoomScale="50" zoomScaleNormal="35" zoomScaleSheetLayoutView="50" workbookViewId="0">
      <selection activeCell="A7" sqref="A7"/>
    </sheetView>
  </sheetViews>
  <sheetFormatPr baseColWidth="10" defaultRowHeight="18.75" customHeight="1" x14ac:dyDescent="0.35"/>
  <cols>
    <col min="1" max="1" width="10" style="3" customWidth="1"/>
    <col min="2" max="4" width="10" style="4" customWidth="1"/>
    <col min="5" max="6" width="31.140625" style="4" customWidth="1"/>
    <col min="7" max="7" width="12.140625" style="4" customWidth="1"/>
    <col min="8" max="10" width="32.7109375" style="4" customWidth="1"/>
    <col min="11" max="13" width="24.85546875" style="4" customWidth="1"/>
    <col min="14" max="16" width="10" style="4" customWidth="1"/>
    <col min="17" max="17" width="10" style="3" customWidth="1"/>
    <col min="18" max="19" width="10" style="4" customWidth="1"/>
    <col min="20" max="20" width="10" style="3" customWidth="1"/>
    <col min="21" max="21" width="31.140625" style="4" customWidth="1"/>
    <col min="22" max="22" width="10" style="4" customWidth="1"/>
    <col min="23" max="28" width="25.7109375" style="4" customWidth="1"/>
    <col min="29" max="29" width="12" style="4" customWidth="1"/>
    <col min="30" max="30" width="23.42578125" style="4" customWidth="1"/>
    <col min="31" max="64" width="12" style="4" customWidth="1"/>
    <col min="65" max="65" width="11.42578125" style="5" customWidth="1"/>
    <col min="66" max="16384" width="11.42578125" style="5"/>
  </cols>
  <sheetData>
    <row r="1" spans="1:64" ht="36" customHeight="1" x14ac:dyDescent="0.35">
      <c r="A1" s="39" t="e">
        <v>#VALUE!</v>
      </c>
      <c r="B1" s="39"/>
      <c r="C1" s="39"/>
      <c r="D1" s="39"/>
      <c r="E1" s="39"/>
      <c r="F1" s="39"/>
      <c r="G1" s="40" t="s">
        <v>154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 t="s">
        <v>156</v>
      </c>
      <c r="W1" s="40"/>
      <c r="X1" s="40"/>
      <c r="Y1" s="40"/>
      <c r="Z1" s="40"/>
      <c r="AA1" s="40"/>
      <c r="AB1" s="40"/>
    </row>
    <row r="2" spans="1:64" ht="36" customHeight="1" x14ac:dyDescent="0.35">
      <c r="A2" s="39"/>
      <c r="B2" s="39"/>
      <c r="C2" s="39"/>
      <c r="D2" s="39"/>
      <c r="E2" s="39"/>
      <c r="F2" s="39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1:64" ht="17.25" customHeight="1" x14ac:dyDescent="0.35">
      <c r="A3" s="39"/>
      <c r="B3" s="39"/>
      <c r="C3" s="39"/>
      <c r="D3" s="39"/>
      <c r="E3" s="39"/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64" ht="36" customHeight="1" x14ac:dyDescent="0.35">
      <c r="A4" s="39"/>
      <c r="B4" s="39"/>
      <c r="C4" s="39"/>
      <c r="D4" s="39"/>
      <c r="E4" s="39"/>
      <c r="F4" s="39"/>
      <c r="G4" s="40" t="s">
        <v>155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 t="s">
        <v>162</v>
      </c>
      <c r="W4" s="40"/>
      <c r="X4" s="40"/>
      <c r="Y4" s="40"/>
      <c r="Z4" s="40"/>
      <c r="AA4" s="40"/>
      <c r="AB4" s="40"/>
    </row>
    <row r="5" spans="1:64" ht="36" customHeight="1" x14ac:dyDescent="0.35">
      <c r="A5" s="39"/>
      <c r="B5" s="39"/>
      <c r="C5" s="39"/>
      <c r="D5" s="39"/>
      <c r="E5" s="39"/>
      <c r="F5" s="39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</row>
    <row r="6" spans="1:64" ht="36" customHeight="1" x14ac:dyDescent="0.35">
      <c r="A6" s="39"/>
      <c r="B6" s="39"/>
      <c r="C6" s="39"/>
      <c r="D6" s="39"/>
      <c r="E6" s="39"/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</row>
    <row r="7" spans="1:64" ht="60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</row>
    <row r="8" spans="1:64" s="16" customFormat="1" ht="69.75" customHeight="1" x14ac:dyDescent="0.35">
      <c r="A8" s="38" t="s">
        <v>0</v>
      </c>
      <c r="B8" s="38" t="s">
        <v>1</v>
      </c>
      <c r="C8" s="38" t="s">
        <v>2</v>
      </c>
      <c r="D8" s="38" t="s">
        <v>3</v>
      </c>
      <c r="E8" s="36" t="s">
        <v>4</v>
      </c>
      <c r="F8" s="36" t="s">
        <v>5</v>
      </c>
      <c r="G8" s="38" t="s">
        <v>6</v>
      </c>
      <c r="H8" s="36" t="s">
        <v>7</v>
      </c>
      <c r="I8" s="36"/>
      <c r="J8" s="36" t="s">
        <v>8</v>
      </c>
      <c r="K8" s="36" t="s">
        <v>9</v>
      </c>
      <c r="L8" s="36"/>
      <c r="M8" s="36"/>
      <c r="N8" s="37" t="s">
        <v>10</v>
      </c>
      <c r="O8" s="37"/>
      <c r="P8" s="37"/>
      <c r="Q8" s="37"/>
      <c r="R8" s="37"/>
      <c r="S8" s="37"/>
      <c r="T8" s="37"/>
      <c r="U8" s="21" t="s">
        <v>11</v>
      </c>
      <c r="V8" s="36" t="s">
        <v>12</v>
      </c>
      <c r="W8" s="36"/>
      <c r="X8" s="36" t="s">
        <v>13</v>
      </c>
      <c r="Y8" s="36"/>
      <c r="Z8" s="36"/>
      <c r="AA8" s="36"/>
      <c r="AB8" s="36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</row>
    <row r="9" spans="1:64" s="16" customFormat="1" ht="257.25" customHeight="1" x14ac:dyDescent="0.35">
      <c r="A9" s="38"/>
      <c r="B9" s="38"/>
      <c r="C9" s="38"/>
      <c r="D9" s="38"/>
      <c r="E9" s="36"/>
      <c r="F9" s="36"/>
      <c r="G9" s="38"/>
      <c r="H9" s="17" t="s">
        <v>14</v>
      </c>
      <c r="I9" s="17" t="s">
        <v>15</v>
      </c>
      <c r="J9" s="36"/>
      <c r="K9" s="17" t="s">
        <v>16</v>
      </c>
      <c r="L9" s="17" t="s">
        <v>17</v>
      </c>
      <c r="M9" s="17" t="s">
        <v>18</v>
      </c>
      <c r="N9" s="18" t="s">
        <v>19</v>
      </c>
      <c r="O9" s="18" t="s">
        <v>20</v>
      </c>
      <c r="P9" s="19" t="s">
        <v>21</v>
      </c>
      <c r="Q9" s="19" t="s">
        <v>22</v>
      </c>
      <c r="R9" s="18" t="s">
        <v>23</v>
      </c>
      <c r="S9" s="18" t="s">
        <v>24</v>
      </c>
      <c r="T9" s="18" t="s">
        <v>25</v>
      </c>
      <c r="U9" s="17" t="s">
        <v>26</v>
      </c>
      <c r="V9" s="20" t="s">
        <v>27</v>
      </c>
      <c r="W9" s="20" t="s">
        <v>28</v>
      </c>
      <c r="X9" s="17" t="s">
        <v>29</v>
      </c>
      <c r="Y9" s="17" t="s">
        <v>30</v>
      </c>
      <c r="Z9" s="17" t="s">
        <v>31</v>
      </c>
      <c r="AA9" s="17" t="s">
        <v>32</v>
      </c>
      <c r="AB9" s="17" t="s">
        <v>33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</row>
    <row r="10" spans="1:64" ht="237" customHeight="1" x14ac:dyDescent="0.35">
      <c r="A10" s="31" t="s">
        <v>128</v>
      </c>
      <c r="B10" s="31" t="s">
        <v>152</v>
      </c>
      <c r="C10" s="31" t="s">
        <v>151</v>
      </c>
      <c r="D10" s="35" t="s">
        <v>124</v>
      </c>
      <c r="E10" s="34" t="s">
        <v>79</v>
      </c>
      <c r="F10" s="34" t="s">
        <v>80</v>
      </c>
      <c r="G10" s="34" t="s">
        <v>34</v>
      </c>
      <c r="H10" s="13" t="s">
        <v>35</v>
      </c>
      <c r="I10" s="13" t="s">
        <v>43</v>
      </c>
      <c r="J10" s="13" t="s">
        <v>36</v>
      </c>
      <c r="K10" s="13"/>
      <c r="L10" s="13"/>
      <c r="M10" s="13" t="s">
        <v>37</v>
      </c>
      <c r="N10" s="13">
        <v>2</v>
      </c>
      <c r="O10" s="13">
        <v>2</v>
      </c>
      <c r="P10" s="13">
        <f t="shared" ref="P10:P17" si="0">N10*O10</f>
        <v>4</v>
      </c>
      <c r="Q10" s="6" t="str">
        <f t="shared" ref="Q10:Q62" si="1">IF(P10&gt;=24,"MA",IF(AND(P10&lt;=20,P10&gt;=10),"A",IF(AND(P10&lt;=8,P10&gt;=6),"M","B")))</f>
        <v>B</v>
      </c>
      <c r="R10" s="13">
        <v>10</v>
      </c>
      <c r="S10" s="13">
        <f t="shared" ref="S10:S17" si="2">P10*R10</f>
        <v>40</v>
      </c>
      <c r="T10" s="7" t="str">
        <f t="shared" ref="T10:T16" si="3">IF(S10&gt;=600,"I",IF(AND(S10&lt;=500,S10&gt;=150),"II",IF(AND(S10&lt;=120,S10&gt;=40),"III","IV")))</f>
        <v>III</v>
      </c>
      <c r="U10" s="6" t="str">
        <f t="shared" ref="U10:U62" si="4">IF(T10="I","NO ACEPTABLE",IF(T10="II","ACEPTABLE CON CONTROL ESPECIFICO",IF(T10="III","MEJORABLE","ACEPTABLE ")))</f>
        <v>MEJORABLE</v>
      </c>
      <c r="V10" s="34">
        <v>1</v>
      </c>
      <c r="W10" s="13" t="s">
        <v>38</v>
      </c>
      <c r="X10" s="13"/>
      <c r="Y10" s="13"/>
      <c r="Z10" s="13"/>
      <c r="AA10" s="13" t="s">
        <v>131</v>
      </c>
      <c r="AB10" s="13"/>
    </row>
    <row r="11" spans="1:64" ht="208.5" customHeight="1" x14ac:dyDescent="0.35">
      <c r="A11" s="31"/>
      <c r="B11" s="31"/>
      <c r="C11" s="31"/>
      <c r="D11" s="35"/>
      <c r="E11" s="34"/>
      <c r="F11" s="34"/>
      <c r="G11" s="34"/>
      <c r="H11" s="13" t="s">
        <v>56</v>
      </c>
      <c r="I11" s="13" t="s">
        <v>144</v>
      </c>
      <c r="J11" s="13" t="s">
        <v>133</v>
      </c>
      <c r="K11" s="13"/>
      <c r="L11" s="13" t="s">
        <v>134</v>
      </c>
      <c r="M11" s="13" t="s">
        <v>136</v>
      </c>
      <c r="N11" s="13">
        <v>2</v>
      </c>
      <c r="O11" s="13">
        <v>2</v>
      </c>
      <c r="P11" s="13">
        <f t="shared" si="0"/>
        <v>4</v>
      </c>
      <c r="Q11" s="6" t="str">
        <f t="shared" si="1"/>
        <v>B</v>
      </c>
      <c r="R11" s="13">
        <v>10</v>
      </c>
      <c r="S11" s="13">
        <f t="shared" si="2"/>
        <v>40</v>
      </c>
      <c r="T11" s="7" t="str">
        <f t="shared" si="3"/>
        <v>III</v>
      </c>
      <c r="U11" s="6" t="str">
        <f t="shared" si="4"/>
        <v>MEJORABLE</v>
      </c>
      <c r="V11" s="34"/>
      <c r="W11" s="13" t="s">
        <v>60</v>
      </c>
      <c r="X11" s="13"/>
      <c r="Y11" s="13"/>
      <c r="Z11" s="13" t="s">
        <v>61</v>
      </c>
      <c r="AA11" s="13" t="s">
        <v>130</v>
      </c>
      <c r="AB11" s="13"/>
    </row>
    <row r="12" spans="1:64" ht="175.5" customHeight="1" x14ac:dyDescent="0.35">
      <c r="A12" s="31"/>
      <c r="B12" s="31"/>
      <c r="C12" s="31"/>
      <c r="D12" s="35"/>
      <c r="E12" s="34"/>
      <c r="F12" s="34"/>
      <c r="G12" s="34"/>
      <c r="H12" s="13" t="s">
        <v>48</v>
      </c>
      <c r="I12" s="13" t="s">
        <v>50</v>
      </c>
      <c r="J12" s="13" t="s">
        <v>51</v>
      </c>
      <c r="K12" s="13"/>
      <c r="L12" s="13" t="s">
        <v>39</v>
      </c>
      <c r="M12" s="13" t="s">
        <v>52</v>
      </c>
      <c r="N12" s="13">
        <v>2</v>
      </c>
      <c r="O12" s="13">
        <v>2</v>
      </c>
      <c r="P12" s="13">
        <f t="shared" si="0"/>
        <v>4</v>
      </c>
      <c r="Q12" s="6" t="str">
        <f t="shared" si="1"/>
        <v>B</v>
      </c>
      <c r="R12" s="13">
        <v>10</v>
      </c>
      <c r="S12" s="13">
        <f t="shared" si="2"/>
        <v>40</v>
      </c>
      <c r="T12" s="7" t="str">
        <f t="shared" si="3"/>
        <v>III</v>
      </c>
      <c r="U12" s="6" t="str">
        <f t="shared" si="4"/>
        <v>MEJORABLE</v>
      </c>
      <c r="V12" s="34"/>
      <c r="W12" s="13" t="s">
        <v>53</v>
      </c>
      <c r="X12" s="13"/>
      <c r="Y12" s="13"/>
      <c r="Z12" s="13" t="s">
        <v>54</v>
      </c>
      <c r="AA12" s="13" t="s">
        <v>55</v>
      </c>
      <c r="AB12" s="13"/>
    </row>
    <row r="13" spans="1:64" ht="204.75" customHeight="1" x14ac:dyDescent="0.35">
      <c r="A13" s="31"/>
      <c r="B13" s="31"/>
      <c r="C13" s="31" t="s">
        <v>150</v>
      </c>
      <c r="D13" s="35"/>
      <c r="E13" s="34" t="s">
        <v>81</v>
      </c>
      <c r="F13" s="34" t="s">
        <v>82</v>
      </c>
      <c r="G13" s="34"/>
      <c r="H13" s="13" t="s">
        <v>35</v>
      </c>
      <c r="I13" s="13" t="s">
        <v>43</v>
      </c>
      <c r="J13" s="13" t="s">
        <v>36</v>
      </c>
      <c r="K13" s="13"/>
      <c r="L13" s="13"/>
      <c r="M13" s="13" t="s">
        <v>37</v>
      </c>
      <c r="N13" s="13">
        <v>2</v>
      </c>
      <c r="O13" s="13">
        <v>3</v>
      </c>
      <c r="P13" s="13">
        <f t="shared" si="0"/>
        <v>6</v>
      </c>
      <c r="Q13" s="6" t="str">
        <f t="shared" si="1"/>
        <v>M</v>
      </c>
      <c r="R13" s="13">
        <v>10</v>
      </c>
      <c r="S13" s="13">
        <f t="shared" si="2"/>
        <v>60</v>
      </c>
      <c r="T13" s="7" t="str">
        <f t="shared" si="3"/>
        <v>III</v>
      </c>
      <c r="U13" s="6" t="str">
        <f t="shared" si="4"/>
        <v>MEJORABLE</v>
      </c>
      <c r="V13" s="34">
        <v>1</v>
      </c>
      <c r="W13" s="13" t="s">
        <v>38</v>
      </c>
      <c r="X13" s="13"/>
      <c r="Y13" s="13"/>
      <c r="Z13" s="13"/>
      <c r="AA13" s="13" t="s">
        <v>131</v>
      </c>
      <c r="AB13" s="13"/>
    </row>
    <row r="14" spans="1:64" ht="137.25" customHeight="1" x14ac:dyDescent="0.35">
      <c r="A14" s="31"/>
      <c r="B14" s="31"/>
      <c r="C14" s="31"/>
      <c r="D14" s="35"/>
      <c r="E14" s="34"/>
      <c r="F14" s="34"/>
      <c r="G14" s="34"/>
      <c r="H14" s="34" t="s">
        <v>41</v>
      </c>
      <c r="I14" s="13" t="s">
        <v>62</v>
      </c>
      <c r="J14" s="13" t="s">
        <v>63</v>
      </c>
      <c r="K14" s="13" t="s">
        <v>64</v>
      </c>
      <c r="L14" s="13"/>
      <c r="M14" s="13" t="s">
        <v>65</v>
      </c>
      <c r="N14" s="13">
        <v>2</v>
      </c>
      <c r="O14" s="13">
        <v>2</v>
      </c>
      <c r="P14" s="13">
        <f t="shared" si="0"/>
        <v>4</v>
      </c>
      <c r="Q14" s="6" t="str">
        <f t="shared" si="1"/>
        <v>B</v>
      </c>
      <c r="R14" s="13">
        <v>10</v>
      </c>
      <c r="S14" s="13">
        <f t="shared" si="2"/>
        <v>40</v>
      </c>
      <c r="T14" s="7" t="str">
        <f t="shared" si="3"/>
        <v>III</v>
      </c>
      <c r="U14" s="6" t="str">
        <f t="shared" si="4"/>
        <v>MEJORABLE</v>
      </c>
      <c r="V14" s="34"/>
      <c r="W14" s="13" t="s">
        <v>66</v>
      </c>
      <c r="X14" s="13"/>
      <c r="Y14" s="13"/>
      <c r="Z14" s="13"/>
      <c r="AA14" s="13" t="s">
        <v>78</v>
      </c>
      <c r="AB14" s="13"/>
    </row>
    <row r="15" spans="1:64" ht="90.75" customHeight="1" x14ac:dyDescent="0.35">
      <c r="A15" s="31"/>
      <c r="B15" s="31"/>
      <c r="C15" s="31"/>
      <c r="D15" s="35"/>
      <c r="E15" s="34"/>
      <c r="F15" s="34"/>
      <c r="G15" s="34"/>
      <c r="H15" s="34"/>
      <c r="I15" s="13" t="s">
        <v>67</v>
      </c>
      <c r="J15" s="13" t="s">
        <v>68</v>
      </c>
      <c r="K15" s="13"/>
      <c r="L15" s="13"/>
      <c r="M15" s="13" t="s">
        <v>83</v>
      </c>
      <c r="N15" s="13">
        <v>2</v>
      </c>
      <c r="O15" s="13">
        <v>2</v>
      </c>
      <c r="P15" s="13">
        <f t="shared" si="0"/>
        <v>4</v>
      </c>
      <c r="Q15" s="6" t="str">
        <f t="shared" si="1"/>
        <v>B</v>
      </c>
      <c r="R15" s="13">
        <v>10</v>
      </c>
      <c r="S15" s="13">
        <f t="shared" si="2"/>
        <v>40</v>
      </c>
      <c r="T15" s="7" t="str">
        <f t="shared" si="3"/>
        <v>III</v>
      </c>
      <c r="U15" s="6" t="str">
        <f t="shared" si="4"/>
        <v>MEJORABLE</v>
      </c>
      <c r="V15" s="34"/>
      <c r="W15" s="13" t="s">
        <v>69</v>
      </c>
      <c r="X15" s="13"/>
      <c r="Y15" s="13"/>
      <c r="Z15" s="13"/>
      <c r="AA15" s="13" t="s">
        <v>70</v>
      </c>
      <c r="AB15" s="13"/>
    </row>
    <row r="16" spans="1:64" ht="74.25" customHeight="1" x14ac:dyDescent="0.35">
      <c r="A16" s="31"/>
      <c r="B16" s="31"/>
      <c r="C16" s="31"/>
      <c r="D16" s="35"/>
      <c r="E16" s="34"/>
      <c r="F16" s="34"/>
      <c r="G16" s="34"/>
      <c r="H16" s="13" t="s">
        <v>73</v>
      </c>
      <c r="I16" s="13" t="s">
        <v>74</v>
      </c>
      <c r="J16" s="13" t="s">
        <v>75</v>
      </c>
      <c r="K16" s="13"/>
      <c r="L16" s="13"/>
      <c r="M16" s="13" t="s">
        <v>76</v>
      </c>
      <c r="N16" s="13">
        <v>2</v>
      </c>
      <c r="O16" s="13">
        <v>1</v>
      </c>
      <c r="P16" s="13">
        <f t="shared" si="0"/>
        <v>2</v>
      </c>
      <c r="Q16" s="6" t="str">
        <f t="shared" si="1"/>
        <v>B</v>
      </c>
      <c r="R16" s="13">
        <v>10</v>
      </c>
      <c r="S16" s="13">
        <f t="shared" si="2"/>
        <v>20</v>
      </c>
      <c r="T16" s="7" t="str">
        <f t="shared" si="3"/>
        <v>IV</v>
      </c>
      <c r="U16" s="6" t="str">
        <f t="shared" si="4"/>
        <v xml:space="preserve">ACEPTABLE </v>
      </c>
      <c r="V16" s="34"/>
      <c r="W16" s="13" t="s">
        <v>77</v>
      </c>
      <c r="X16" s="13"/>
      <c r="Y16" s="13"/>
      <c r="Z16" s="13"/>
      <c r="AA16" s="13" t="s">
        <v>40</v>
      </c>
      <c r="AB16" s="13" t="s">
        <v>76</v>
      </c>
    </row>
    <row r="17" spans="1:28" ht="82.5" customHeight="1" x14ac:dyDescent="0.35">
      <c r="A17" s="31"/>
      <c r="B17" s="31"/>
      <c r="C17" s="31"/>
      <c r="D17" s="35"/>
      <c r="E17" s="34"/>
      <c r="F17" s="34"/>
      <c r="G17" s="34"/>
      <c r="H17" s="13" t="s">
        <v>89</v>
      </c>
      <c r="I17" s="13" t="s">
        <v>45</v>
      </c>
      <c r="J17" s="13" t="s">
        <v>90</v>
      </c>
      <c r="K17" s="13"/>
      <c r="L17" s="13"/>
      <c r="M17" s="13" t="s">
        <v>91</v>
      </c>
      <c r="N17" s="13">
        <v>2</v>
      </c>
      <c r="O17" s="13">
        <v>2</v>
      </c>
      <c r="P17" s="13">
        <f t="shared" si="0"/>
        <v>4</v>
      </c>
      <c r="Q17" s="6" t="str">
        <f t="shared" si="1"/>
        <v>B</v>
      </c>
      <c r="R17" s="13">
        <v>10</v>
      </c>
      <c r="S17" s="13">
        <f t="shared" si="2"/>
        <v>40</v>
      </c>
      <c r="T17" s="7" t="str">
        <f t="shared" ref="T17:T62" si="5">IF(S17&gt;=600,"I",IF(AND(S17&lt;=500,S17&gt;=150),"II",IF(AND(S17&lt;=120,S17&gt;=40),"III","IV")))</f>
        <v>III</v>
      </c>
      <c r="U17" s="6" t="str">
        <f t="shared" si="4"/>
        <v>MEJORABLE</v>
      </c>
      <c r="V17" s="34"/>
      <c r="W17" s="13" t="s">
        <v>92</v>
      </c>
      <c r="X17" s="13"/>
      <c r="Y17" s="13"/>
      <c r="Z17" s="13"/>
      <c r="AA17" s="13" t="s">
        <v>93</v>
      </c>
      <c r="AB17" s="13" t="s">
        <v>94</v>
      </c>
    </row>
    <row r="18" spans="1:28" ht="174.75" customHeight="1" x14ac:dyDescent="0.35">
      <c r="A18" s="31"/>
      <c r="B18" s="31"/>
      <c r="C18" s="31"/>
      <c r="D18" s="35"/>
      <c r="E18" s="34"/>
      <c r="F18" s="34"/>
      <c r="G18" s="34"/>
      <c r="H18" s="13" t="s">
        <v>48</v>
      </c>
      <c r="I18" s="13" t="s">
        <v>50</v>
      </c>
      <c r="J18" s="13" t="s">
        <v>51</v>
      </c>
      <c r="K18" s="13"/>
      <c r="L18" s="13" t="s">
        <v>39</v>
      </c>
      <c r="M18" s="13" t="s">
        <v>52</v>
      </c>
      <c r="N18" s="13">
        <v>2</v>
      </c>
      <c r="O18" s="13">
        <v>3</v>
      </c>
      <c r="P18" s="13">
        <f t="shared" ref="P18:P62" si="6">N18*O18</f>
        <v>6</v>
      </c>
      <c r="Q18" s="6" t="str">
        <f t="shared" si="1"/>
        <v>M</v>
      </c>
      <c r="R18" s="13">
        <v>10</v>
      </c>
      <c r="S18" s="13">
        <f t="shared" ref="S18:S62" si="7">P18*R18</f>
        <v>60</v>
      </c>
      <c r="T18" s="7" t="str">
        <f t="shared" si="5"/>
        <v>III</v>
      </c>
      <c r="U18" s="6" t="str">
        <f t="shared" si="4"/>
        <v>MEJORABLE</v>
      </c>
      <c r="V18" s="34"/>
      <c r="W18" s="13" t="s">
        <v>53</v>
      </c>
      <c r="X18" s="13"/>
      <c r="Y18" s="13"/>
      <c r="Z18" s="13" t="s">
        <v>54</v>
      </c>
      <c r="AA18" s="13" t="s">
        <v>55</v>
      </c>
      <c r="AB18" s="13"/>
    </row>
    <row r="19" spans="1:28" ht="174.75" customHeight="1" x14ac:dyDescent="0.35">
      <c r="A19" s="31"/>
      <c r="B19" s="31"/>
      <c r="C19" s="31"/>
      <c r="D19" s="35"/>
      <c r="E19" s="34"/>
      <c r="F19" s="34"/>
      <c r="G19" s="34"/>
      <c r="H19" s="34" t="s">
        <v>56</v>
      </c>
      <c r="I19" s="13" t="s">
        <v>144</v>
      </c>
      <c r="J19" s="13" t="s">
        <v>137</v>
      </c>
      <c r="K19" s="13"/>
      <c r="L19" s="13" t="s">
        <v>134</v>
      </c>
      <c r="M19" s="13" t="s">
        <v>138</v>
      </c>
      <c r="N19" s="13">
        <v>2</v>
      </c>
      <c r="O19" s="13">
        <v>3</v>
      </c>
      <c r="P19" s="13">
        <f t="shared" si="6"/>
        <v>6</v>
      </c>
      <c r="Q19" s="6" t="str">
        <f t="shared" si="1"/>
        <v>M</v>
      </c>
      <c r="R19" s="13">
        <v>10</v>
      </c>
      <c r="S19" s="13">
        <f t="shared" si="7"/>
        <v>60</v>
      </c>
      <c r="T19" s="7" t="str">
        <f t="shared" si="5"/>
        <v>III</v>
      </c>
      <c r="U19" s="6" t="str">
        <f t="shared" si="4"/>
        <v>MEJORABLE</v>
      </c>
      <c r="V19" s="34"/>
      <c r="W19" s="13" t="s">
        <v>60</v>
      </c>
      <c r="X19" s="13"/>
      <c r="Y19" s="13"/>
      <c r="Z19" s="13" t="s">
        <v>61</v>
      </c>
      <c r="AA19" s="13" t="s">
        <v>130</v>
      </c>
      <c r="AB19" s="13"/>
    </row>
    <row r="20" spans="1:28" ht="129.75" customHeight="1" x14ac:dyDescent="0.35">
      <c r="A20" s="31"/>
      <c r="B20" s="31"/>
      <c r="C20" s="31"/>
      <c r="D20" s="35"/>
      <c r="E20" s="34"/>
      <c r="F20" s="34"/>
      <c r="G20" s="34"/>
      <c r="H20" s="34"/>
      <c r="I20" s="13" t="s">
        <v>71</v>
      </c>
      <c r="J20" s="13" t="s">
        <v>57</v>
      </c>
      <c r="K20" s="13"/>
      <c r="L20" s="13"/>
      <c r="M20" s="13" t="s">
        <v>72</v>
      </c>
      <c r="N20" s="13">
        <v>2</v>
      </c>
      <c r="O20" s="13">
        <v>2</v>
      </c>
      <c r="P20" s="13">
        <f t="shared" si="6"/>
        <v>4</v>
      </c>
      <c r="Q20" s="6" t="str">
        <f t="shared" si="1"/>
        <v>B</v>
      </c>
      <c r="R20" s="13">
        <v>10</v>
      </c>
      <c r="S20" s="13">
        <f t="shared" si="7"/>
        <v>40</v>
      </c>
      <c r="T20" s="7" t="str">
        <f t="shared" si="5"/>
        <v>III</v>
      </c>
      <c r="U20" s="6" t="str">
        <f t="shared" si="4"/>
        <v>MEJORABLE</v>
      </c>
      <c r="V20" s="34"/>
      <c r="W20" s="13" t="s">
        <v>58</v>
      </c>
      <c r="X20" s="13"/>
      <c r="Y20" s="13"/>
      <c r="Z20" s="13"/>
      <c r="AA20" s="13" t="s">
        <v>44</v>
      </c>
      <c r="AB20" s="13" t="s">
        <v>59</v>
      </c>
    </row>
    <row r="21" spans="1:28" ht="204.75" customHeight="1" x14ac:dyDescent="0.35">
      <c r="A21" s="31"/>
      <c r="B21" s="31"/>
      <c r="C21" s="32" t="s">
        <v>332</v>
      </c>
      <c r="D21" s="35" t="s">
        <v>124</v>
      </c>
      <c r="E21" s="30" t="s">
        <v>81</v>
      </c>
      <c r="F21" s="30" t="s">
        <v>82</v>
      </c>
      <c r="G21" s="34"/>
      <c r="H21" s="22" t="s">
        <v>35</v>
      </c>
      <c r="I21" s="22" t="s">
        <v>43</v>
      </c>
      <c r="J21" s="22" t="s">
        <v>36</v>
      </c>
      <c r="K21" s="22"/>
      <c r="L21" s="22"/>
      <c r="M21" s="22" t="s">
        <v>37</v>
      </c>
      <c r="N21" s="22">
        <v>2</v>
      </c>
      <c r="O21" s="22">
        <v>3</v>
      </c>
      <c r="P21" s="22">
        <f t="shared" si="6"/>
        <v>6</v>
      </c>
      <c r="Q21" s="6" t="str">
        <f t="shared" si="1"/>
        <v>M</v>
      </c>
      <c r="R21" s="22">
        <v>10</v>
      </c>
      <c r="S21" s="22">
        <f t="shared" si="7"/>
        <v>60</v>
      </c>
      <c r="T21" s="23" t="str">
        <f t="shared" si="5"/>
        <v>III</v>
      </c>
      <c r="U21" s="6" t="str">
        <f t="shared" si="4"/>
        <v>MEJORABLE</v>
      </c>
      <c r="V21" s="30">
        <v>1</v>
      </c>
      <c r="W21" s="22" t="s">
        <v>38</v>
      </c>
      <c r="X21" s="22"/>
      <c r="Y21" s="22"/>
      <c r="Z21" s="22"/>
      <c r="AA21" s="22" t="s">
        <v>131</v>
      </c>
      <c r="AB21" s="22"/>
    </row>
    <row r="22" spans="1:28" ht="137.25" customHeight="1" x14ac:dyDescent="0.35">
      <c r="A22" s="31"/>
      <c r="B22" s="31"/>
      <c r="C22" s="32"/>
      <c r="D22" s="35"/>
      <c r="E22" s="30"/>
      <c r="F22" s="30"/>
      <c r="G22" s="34"/>
      <c r="H22" s="30" t="s">
        <v>41</v>
      </c>
      <c r="I22" s="22" t="s">
        <v>62</v>
      </c>
      <c r="J22" s="22" t="s">
        <v>63</v>
      </c>
      <c r="K22" s="22" t="s">
        <v>64</v>
      </c>
      <c r="L22" s="22"/>
      <c r="M22" s="22" t="s">
        <v>65</v>
      </c>
      <c r="N22" s="22">
        <v>2</v>
      </c>
      <c r="O22" s="22">
        <v>2</v>
      </c>
      <c r="P22" s="22">
        <f t="shared" si="6"/>
        <v>4</v>
      </c>
      <c r="Q22" s="6" t="str">
        <f t="shared" si="1"/>
        <v>B</v>
      </c>
      <c r="R22" s="22">
        <v>10</v>
      </c>
      <c r="S22" s="22">
        <f t="shared" si="7"/>
        <v>40</v>
      </c>
      <c r="T22" s="23" t="str">
        <f t="shared" si="5"/>
        <v>III</v>
      </c>
      <c r="U22" s="6" t="str">
        <f t="shared" si="4"/>
        <v>MEJORABLE</v>
      </c>
      <c r="V22" s="30"/>
      <c r="W22" s="22" t="s">
        <v>66</v>
      </c>
      <c r="X22" s="22"/>
      <c r="Y22" s="22"/>
      <c r="Z22" s="22"/>
      <c r="AA22" s="22" t="s">
        <v>78</v>
      </c>
      <c r="AB22" s="22"/>
    </row>
    <row r="23" spans="1:28" ht="90.75" customHeight="1" x14ac:dyDescent="0.35">
      <c r="A23" s="31"/>
      <c r="B23" s="31"/>
      <c r="C23" s="32"/>
      <c r="D23" s="35"/>
      <c r="E23" s="30"/>
      <c r="F23" s="30"/>
      <c r="G23" s="34"/>
      <c r="H23" s="30"/>
      <c r="I23" s="22" t="s">
        <v>67</v>
      </c>
      <c r="J23" s="22" t="s">
        <v>68</v>
      </c>
      <c r="K23" s="22"/>
      <c r="L23" s="22"/>
      <c r="M23" s="22" t="s">
        <v>83</v>
      </c>
      <c r="N23" s="22">
        <v>2</v>
      </c>
      <c r="O23" s="22">
        <v>2</v>
      </c>
      <c r="P23" s="22">
        <f t="shared" si="6"/>
        <v>4</v>
      </c>
      <c r="Q23" s="6" t="str">
        <f t="shared" si="1"/>
        <v>B</v>
      </c>
      <c r="R23" s="22">
        <v>10</v>
      </c>
      <c r="S23" s="22">
        <f t="shared" si="7"/>
        <v>40</v>
      </c>
      <c r="T23" s="23" t="str">
        <f t="shared" si="5"/>
        <v>III</v>
      </c>
      <c r="U23" s="6" t="str">
        <f t="shared" si="4"/>
        <v>MEJORABLE</v>
      </c>
      <c r="V23" s="30"/>
      <c r="W23" s="22" t="s">
        <v>69</v>
      </c>
      <c r="X23" s="22"/>
      <c r="Y23" s="22"/>
      <c r="Z23" s="22"/>
      <c r="AA23" s="22" t="s">
        <v>70</v>
      </c>
      <c r="AB23" s="22"/>
    </row>
    <row r="24" spans="1:28" ht="66.75" customHeight="1" x14ac:dyDescent="0.35">
      <c r="A24" s="31"/>
      <c r="B24" s="31"/>
      <c r="C24" s="32"/>
      <c r="D24" s="35"/>
      <c r="E24" s="30"/>
      <c r="F24" s="30"/>
      <c r="G24" s="34"/>
      <c r="H24" s="30"/>
      <c r="I24" s="22" t="s">
        <v>84</v>
      </c>
      <c r="J24" s="22" t="s">
        <v>85</v>
      </c>
      <c r="K24" s="22"/>
      <c r="L24" s="22"/>
      <c r="M24" s="22" t="s">
        <v>86</v>
      </c>
      <c r="N24" s="22">
        <v>2</v>
      </c>
      <c r="O24" s="22">
        <v>1</v>
      </c>
      <c r="P24" s="22">
        <f t="shared" si="6"/>
        <v>2</v>
      </c>
      <c r="Q24" s="6" t="str">
        <f t="shared" si="1"/>
        <v>B</v>
      </c>
      <c r="R24" s="22">
        <v>10</v>
      </c>
      <c r="S24" s="22">
        <f t="shared" si="7"/>
        <v>20</v>
      </c>
      <c r="T24" s="23" t="str">
        <f t="shared" si="5"/>
        <v>IV</v>
      </c>
      <c r="U24" s="6" t="str">
        <f t="shared" si="4"/>
        <v xml:space="preserve">ACEPTABLE </v>
      </c>
      <c r="V24" s="30"/>
      <c r="W24" s="22" t="s">
        <v>331</v>
      </c>
      <c r="X24" s="22"/>
      <c r="Y24" s="22"/>
      <c r="Z24" s="22"/>
      <c r="AA24" s="22" t="s">
        <v>87</v>
      </c>
      <c r="AB24" s="22" t="s">
        <v>88</v>
      </c>
    </row>
    <row r="25" spans="1:28" ht="74.25" customHeight="1" x14ac:dyDescent="0.35">
      <c r="A25" s="31"/>
      <c r="B25" s="31"/>
      <c r="C25" s="32"/>
      <c r="D25" s="35"/>
      <c r="E25" s="30"/>
      <c r="F25" s="30"/>
      <c r="G25" s="34"/>
      <c r="H25" s="22" t="s">
        <v>73</v>
      </c>
      <c r="I25" s="22" t="s">
        <v>74</v>
      </c>
      <c r="J25" s="22" t="s">
        <v>75</v>
      </c>
      <c r="K25" s="22"/>
      <c r="L25" s="22"/>
      <c r="M25" s="22" t="s">
        <v>76</v>
      </c>
      <c r="N25" s="22">
        <v>2</v>
      </c>
      <c r="O25" s="22">
        <v>1</v>
      </c>
      <c r="P25" s="22">
        <f t="shared" si="6"/>
        <v>2</v>
      </c>
      <c r="Q25" s="6" t="str">
        <f t="shared" si="1"/>
        <v>B</v>
      </c>
      <c r="R25" s="22">
        <v>10</v>
      </c>
      <c r="S25" s="22">
        <f t="shared" si="7"/>
        <v>20</v>
      </c>
      <c r="T25" s="23" t="str">
        <f t="shared" si="5"/>
        <v>IV</v>
      </c>
      <c r="U25" s="6" t="str">
        <f t="shared" si="4"/>
        <v xml:space="preserve">ACEPTABLE </v>
      </c>
      <c r="V25" s="30"/>
      <c r="W25" s="22" t="s">
        <v>77</v>
      </c>
      <c r="X25" s="22"/>
      <c r="Y25" s="22"/>
      <c r="Z25" s="22"/>
      <c r="AA25" s="22" t="s">
        <v>40</v>
      </c>
      <c r="AB25" s="22" t="s">
        <v>76</v>
      </c>
    </row>
    <row r="26" spans="1:28" ht="82.5" customHeight="1" x14ac:dyDescent="0.35">
      <c r="A26" s="31"/>
      <c r="B26" s="31"/>
      <c r="C26" s="32"/>
      <c r="D26" s="35"/>
      <c r="E26" s="30"/>
      <c r="F26" s="30"/>
      <c r="G26" s="34"/>
      <c r="H26" s="22" t="s">
        <v>89</v>
      </c>
      <c r="I26" s="22" t="s">
        <v>45</v>
      </c>
      <c r="J26" s="22" t="s">
        <v>90</v>
      </c>
      <c r="K26" s="22"/>
      <c r="L26" s="22"/>
      <c r="M26" s="22" t="s">
        <v>91</v>
      </c>
      <c r="N26" s="22">
        <v>2</v>
      </c>
      <c r="O26" s="22">
        <v>2</v>
      </c>
      <c r="P26" s="22">
        <f t="shared" si="6"/>
        <v>4</v>
      </c>
      <c r="Q26" s="6" t="str">
        <f t="shared" si="1"/>
        <v>B</v>
      </c>
      <c r="R26" s="22">
        <v>10</v>
      </c>
      <c r="S26" s="22">
        <f t="shared" si="7"/>
        <v>40</v>
      </c>
      <c r="T26" s="23" t="str">
        <f t="shared" si="5"/>
        <v>III</v>
      </c>
      <c r="U26" s="6" t="str">
        <f t="shared" si="4"/>
        <v>MEJORABLE</v>
      </c>
      <c r="V26" s="30"/>
      <c r="W26" s="22" t="s">
        <v>92</v>
      </c>
      <c r="X26" s="22"/>
      <c r="Y26" s="22"/>
      <c r="Z26" s="22"/>
      <c r="AA26" s="22" t="s">
        <v>93</v>
      </c>
      <c r="AB26" s="22" t="s">
        <v>94</v>
      </c>
    </row>
    <row r="27" spans="1:28" ht="174.75" customHeight="1" x14ac:dyDescent="0.35">
      <c r="A27" s="31"/>
      <c r="B27" s="31"/>
      <c r="C27" s="32"/>
      <c r="D27" s="35"/>
      <c r="E27" s="30"/>
      <c r="F27" s="30"/>
      <c r="G27" s="34"/>
      <c r="H27" s="22" t="s">
        <v>48</v>
      </c>
      <c r="I27" s="22" t="s">
        <v>50</v>
      </c>
      <c r="J27" s="22" t="s">
        <v>51</v>
      </c>
      <c r="K27" s="22"/>
      <c r="L27" s="22" t="s">
        <v>39</v>
      </c>
      <c r="M27" s="22" t="s">
        <v>52</v>
      </c>
      <c r="N27" s="22">
        <v>2</v>
      </c>
      <c r="O27" s="22">
        <v>3</v>
      </c>
      <c r="P27" s="22">
        <f t="shared" si="6"/>
        <v>6</v>
      </c>
      <c r="Q27" s="6" t="str">
        <f t="shared" si="1"/>
        <v>M</v>
      </c>
      <c r="R27" s="22">
        <v>10</v>
      </c>
      <c r="S27" s="22">
        <f t="shared" si="7"/>
        <v>60</v>
      </c>
      <c r="T27" s="23" t="str">
        <f t="shared" si="5"/>
        <v>III</v>
      </c>
      <c r="U27" s="6" t="str">
        <f t="shared" si="4"/>
        <v>MEJORABLE</v>
      </c>
      <c r="V27" s="30"/>
      <c r="W27" s="22" t="s">
        <v>53</v>
      </c>
      <c r="X27" s="22"/>
      <c r="Y27" s="22"/>
      <c r="Z27" s="22" t="s">
        <v>54</v>
      </c>
      <c r="AA27" s="22" t="s">
        <v>55</v>
      </c>
      <c r="AB27" s="22"/>
    </row>
    <row r="28" spans="1:28" ht="174.75" customHeight="1" x14ac:dyDescent="0.35">
      <c r="A28" s="31"/>
      <c r="B28" s="31"/>
      <c r="C28" s="32"/>
      <c r="D28" s="35"/>
      <c r="E28" s="30"/>
      <c r="F28" s="30"/>
      <c r="G28" s="34"/>
      <c r="H28" s="30" t="s">
        <v>56</v>
      </c>
      <c r="I28" s="22" t="s">
        <v>144</v>
      </c>
      <c r="J28" s="22" t="s">
        <v>137</v>
      </c>
      <c r="K28" s="22"/>
      <c r="L28" s="22" t="s">
        <v>134</v>
      </c>
      <c r="M28" s="22" t="s">
        <v>138</v>
      </c>
      <c r="N28" s="22">
        <v>2</v>
      </c>
      <c r="O28" s="22">
        <v>3</v>
      </c>
      <c r="P28" s="22">
        <f t="shared" si="6"/>
        <v>6</v>
      </c>
      <c r="Q28" s="6" t="str">
        <f t="shared" si="1"/>
        <v>M</v>
      </c>
      <c r="R28" s="22">
        <v>10</v>
      </c>
      <c r="S28" s="22">
        <f t="shared" si="7"/>
        <v>60</v>
      </c>
      <c r="T28" s="23" t="str">
        <f t="shared" si="5"/>
        <v>III</v>
      </c>
      <c r="U28" s="6" t="str">
        <f t="shared" si="4"/>
        <v>MEJORABLE</v>
      </c>
      <c r="V28" s="30"/>
      <c r="W28" s="22" t="s">
        <v>60</v>
      </c>
      <c r="X28" s="22"/>
      <c r="Y28" s="22"/>
      <c r="Z28" s="22" t="s">
        <v>61</v>
      </c>
      <c r="AA28" s="22" t="s">
        <v>130</v>
      </c>
      <c r="AB28" s="22"/>
    </row>
    <row r="29" spans="1:28" ht="129.75" customHeight="1" x14ac:dyDescent="0.35">
      <c r="A29" s="31"/>
      <c r="B29" s="31"/>
      <c r="C29" s="32"/>
      <c r="D29" s="35"/>
      <c r="E29" s="30"/>
      <c r="F29" s="30"/>
      <c r="G29" s="34"/>
      <c r="H29" s="30"/>
      <c r="I29" s="22" t="s">
        <v>71</v>
      </c>
      <c r="J29" s="22" t="s">
        <v>57</v>
      </c>
      <c r="K29" s="22"/>
      <c r="L29" s="22"/>
      <c r="M29" s="22" t="s">
        <v>72</v>
      </c>
      <c r="N29" s="22">
        <v>2</v>
      </c>
      <c r="O29" s="22">
        <v>2</v>
      </c>
      <c r="P29" s="22">
        <f t="shared" si="6"/>
        <v>4</v>
      </c>
      <c r="Q29" s="6" t="str">
        <f t="shared" si="1"/>
        <v>B</v>
      </c>
      <c r="R29" s="22">
        <v>10</v>
      </c>
      <c r="S29" s="22">
        <f t="shared" si="7"/>
        <v>40</v>
      </c>
      <c r="T29" s="23" t="str">
        <f t="shared" si="5"/>
        <v>III</v>
      </c>
      <c r="U29" s="6" t="str">
        <f t="shared" si="4"/>
        <v>MEJORABLE</v>
      </c>
      <c r="V29" s="30"/>
      <c r="W29" s="22" t="s">
        <v>58</v>
      </c>
      <c r="X29" s="22"/>
      <c r="Y29" s="22"/>
      <c r="Z29" s="22"/>
      <c r="AA29" s="22" t="s">
        <v>44</v>
      </c>
      <c r="AB29" s="22" t="s">
        <v>59</v>
      </c>
    </row>
    <row r="30" spans="1:28" ht="56.25" customHeight="1" x14ac:dyDescent="0.35">
      <c r="A30" s="31"/>
      <c r="B30" s="31"/>
      <c r="C30" s="32" t="s">
        <v>262</v>
      </c>
      <c r="D30" s="32" t="s">
        <v>239</v>
      </c>
      <c r="E30" s="33" t="s">
        <v>260</v>
      </c>
      <c r="F30" s="30" t="s">
        <v>261</v>
      </c>
      <c r="G30" s="34"/>
      <c r="H30" s="22" t="s">
        <v>35</v>
      </c>
      <c r="I30" s="22" t="s">
        <v>240</v>
      </c>
      <c r="J30" s="22" t="s">
        <v>120</v>
      </c>
      <c r="K30" s="22"/>
      <c r="L30" s="22"/>
      <c r="M30" s="22" t="s">
        <v>119</v>
      </c>
      <c r="N30" s="22">
        <v>2</v>
      </c>
      <c r="O30" s="22">
        <v>2</v>
      </c>
      <c r="P30" s="22">
        <f t="shared" si="6"/>
        <v>4</v>
      </c>
      <c r="Q30" s="6" t="str">
        <f t="shared" si="1"/>
        <v>B</v>
      </c>
      <c r="R30" s="22">
        <v>10</v>
      </c>
      <c r="S30" s="22">
        <f t="shared" si="7"/>
        <v>40</v>
      </c>
      <c r="T30" s="23" t="str">
        <f t="shared" si="5"/>
        <v>III</v>
      </c>
      <c r="U30" s="6" t="str">
        <f t="shared" si="4"/>
        <v>MEJORABLE</v>
      </c>
      <c r="V30" s="30">
        <v>31</v>
      </c>
      <c r="W30" s="22" t="s">
        <v>241</v>
      </c>
      <c r="X30" s="22"/>
      <c r="Y30" s="22"/>
      <c r="Z30" s="22"/>
      <c r="AA30" s="22" t="s">
        <v>131</v>
      </c>
      <c r="AB30" s="22"/>
    </row>
    <row r="31" spans="1:28" ht="93.75" customHeight="1" x14ac:dyDescent="0.35">
      <c r="A31" s="31"/>
      <c r="B31" s="31"/>
      <c r="C31" s="32"/>
      <c r="D31" s="32"/>
      <c r="E31" s="33"/>
      <c r="F31" s="30"/>
      <c r="G31" s="34"/>
      <c r="H31" s="30" t="s">
        <v>48</v>
      </c>
      <c r="I31" s="22" t="s">
        <v>219</v>
      </c>
      <c r="J31" s="22" t="s">
        <v>220</v>
      </c>
      <c r="K31" s="22"/>
      <c r="L31" s="22"/>
      <c r="M31" s="22" t="s">
        <v>52</v>
      </c>
      <c r="N31" s="22">
        <v>2</v>
      </c>
      <c r="O31" s="22">
        <v>3</v>
      </c>
      <c r="P31" s="22">
        <f t="shared" si="6"/>
        <v>6</v>
      </c>
      <c r="Q31" s="6" t="str">
        <f t="shared" si="1"/>
        <v>M</v>
      </c>
      <c r="R31" s="22">
        <v>10</v>
      </c>
      <c r="S31" s="22">
        <f t="shared" si="7"/>
        <v>60</v>
      </c>
      <c r="T31" s="23" t="str">
        <f t="shared" si="5"/>
        <v>III</v>
      </c>
      <c r="U31" s="6" t="str">
        <f t="shared" si="4"/>
        <v>MEJORABLE</v>
      </c>
      <c r="V31" s="30"/>
      <c r="W31" s="22" t="s">
        <v>53</v>
      </c>
      <c r="X31" s="22"/>
      <c r="Y31" s="22"/>
      <c r="Z31" s="22"/>
      <c r="AA31" s="22" t="s">
        <v>55</v>
      </c>
      <c r="AB31" s="22"/>
    </row>
    <row r="32" spans="1:28" ht="37.5" customHeight="1" x14ac:dyDescent="0.35">
      <c r="A32" s="31"/>
      <c r="B32" s="31"/>
      <c r="C32" s="32"/>
      <c r="D32" s="32"/>
      <c r="E32" s="33"/>
      <c r="F32" s="30"/>
      <c r="G32" s="34"/>
      <c r="H32" s="30"/>
      <c r="I32" s="22" t="s">
        <v>49</v>
      </c>
      <c r="J32" s="22" t="s">
        <v>242</v>
      </c>
      <c r="K32" s="22"/>
      <c r="L32" s="22"/>
      <c r="M32" s="22" t="s">
        <v>204</v>
      </c>
      <c r="N32" s="22">
        <v>2</v>
      </c>
      <c r="O32" s="22">
        <v>3</v>
      </c>
      <c r="P32" s="22">
        <f t="shared" si="6"/>
        <v>6</v>
      </c>
      <c r="Q32" s="6" t="str">
        <f t="shared" si="1"/>
        <v>M</v>
      </c>
      <c r="R32" s="22">
        <v>10</v>
      </c>
      <c r="S32" s="22">
        <f t="shared" si="7"/>
        <v>60</v>
      </c>
      <c r="T32" s="23" t="str">
        <f t="shared" si="5"/>
        <v>III</v>
      </c>
      <c r="U32" s="6" t="str">
        <f t="shared" si="4"/>
        <v>MEJORABLE</v>
      </c>
      <c r="V32" s="30"/>
      <c r="W32" s="22" t="s">
        <v>121</v>
      </c>
      <c r="X32" s="22"/>
      <c r="Y32" s="22"/>
      <c r="Z32" s="22"/>
      <c r="AA32" s="22" t="s">
        <v>206</v>
      </c>
      <c r="AB32" s="22"/>
    </row>
    <row r="33" spans="1:28" ht="135.75" customHeight="1" x14ac:dyDescent="0.35">
      <c r="A33" s="31"/>
      <c r="B33" s="31"/>
      <c r="C33" s="32"/>
      <c r="D33" s="32"/>
      <c r="E33" s="33"/>
      <c r="F33" s="30"/>
      <c r="G33" s="34"/>
      <c r="H33" s="30" t="s">
        <v>41</v>
      </c>
      <c r="I33" s="22" t="s">
        <v>243</v>
      </c>
      <c r="J33" s="22" t="s">
        <v>244</v>
      </c>
      <c r="K33" s="22"/>
      <c r="L33" s="22"/>
      <c r="M33" s="22" t="s">
        <v>184</v>
      </c>
      <c r="N33" s="22">
        <v>2</v>
      </c>
      <c r="O33" s="22">
        <v>2</v>
      </c>
      <c r="P33" s="22">
        <f t="shared" si="6"/>
        <v>4</v>
      </c>
      <c r="Q33" s="6" t="str">
        <f t="shared" si="1"/>
        <v>B</v>
      </c>
      <c r="R33" s="22">
        <v>10</v>
      </c>
      <c r="S33" s="22">
        <f t="shared" si="7"/>
        <v>40</v>
      </c>
      <c r="T33" s="23" t="str">
        <f t="shared" si="5"/>
        <v>III</v>
      </c>
      <c r="U33" s="6" t="str">
        <f t="shared" si="4"/>
        <v>MEJORABLE</v>
      </c>
      <c r="V33" s="30"/>
      <c r="W33" s="22" t="s">
        <v>122</v>
      </c>
      <c r="X33" s="22"/>
      <c r="Y33" s="22"/>
      <c r="Z33" s="22"/>
      <c r="AA33" s="22" t="s">
        <v>245</v>
      </c>
      <c r="AB33" s="22"/>
    </row>
    <row r="34" spans="1:28" ht="59.45" customHeight="1" x14ac:dyDescent="0.35">
      <c r="A34" s="31"/>
      <c r="B34" s="31"/>
      <c r="C34" s="32"/>
      <c r="D34" s="32"/>
      <c r="E34" s="33"/>
      <c r="F34" s="30"/>
      <c r="G34" s="34"/>
      <c r="H34" s="30"/>
      <c r="I34" s="22" t="s">
        <v>62</v>
      </c>
      <c r="J34" s="22" t="s">
        <v>246</v>
      </c>
      <c r="K34" s="22"/>
      <c r="L34" s="22"/>
      <c r="M34" s="22" t="s">
        <v>247</v>
      </c>
      <c r="N34" s="22">
        <v>2</v>
      </c>
      <c r="O34" s="22">
        <v>2</v>
      </c>
      <c r="P34" s="22">
        <f t="shared" si="6"/>
        <v>4</v>
      </c>
      <c r="Q34" s="6" t="str">
        <f t="shared" si="1"/>
        <v>B</v>
      </c>
      <c r="R34" s="22">
        <v>10</v>
      </c>
      <c r="S34" s="22">
        <f t="shared" si="7"/>
        <v>40</v>
      </c>
      <c r="T34" s="23" t="str">
        <f t="shared" si="5"/>
        <v>III</v>
      </c>
      <c r="U34" s="6" t="str">
        <f t="shared" si="4"/>
        <v>MEJORABLE</v>
      </c>
      <c r="V34" s="30"/>
      <c r="W34" s="22" t="s">
        <v>248</v>
      </c>
      <c r="X34" s="22"/>
      <c r="Y34" s="22"/>
      <c r="Z34" s="22"/>
      <c r="AA34" s="22" t="s">
        <v>249</v>
      </c>
      <c r="AB34" s="22"/>
    </row>
    <row r="35" spans="1:28" ht="79.5" customHeight="1" x14ac:dyDescent="0.35">
      <c r="A35" s="31"/>
      <c r="B35" s="31"/>
      <c r="C35" s="32"/>
      <c r="D35" s="32"/>
      <c r="E35" s="33"/>
      <c r="F35" s="30"/>
      <c r="G35" s="34"/>
      <c r="H35" s="30"/>
      <c r="I35" s="22" t="s">
        <v>250</v>
      </c>
      <c r="J35" s="22" t="s">
        <v>246</v>
      </c>
      <c r="K35" s="22"/>
      <c r="L35" s="22"/>
      <c r="M35" s="22" t="s">
        <v>40</v>
      </c>
      <c r="N35" s="22">
        <v>2</v>
      </c>
      <c r="O35" s="22">
        <v>3</v>
      </c>
      <c r="P35" s="22">
        <f t="shared" si="6"/>
        <v>6</v>
      </c>
      <c r="Q35" s="6" t="str">
        <f t="shared" si="1"/>
        <v>M</v>
      </c>
      <c r="R35" s="22">
        <v>10</v>
      </c>
      <c r="S35" s="22">
        <f t="shared" si="7"/>
        <v>60</v>
      </c>
      <c r="T35" s="23" t="str">
        <f t="shared" si="5"/>
        <v>III</v>
      </c>
      <c r="U35" s="6" t="str">
        <f t="shared" si="4"/>
        <v>MEJORABLE</v>
      </c>
      <c r="V35" s="30"/>
      <c r="W35" s="22" t="s">
        <v>248</v>
      </c>
      <c r="X35" s="22"/>
      <c r="Y35" s="22"/>
      <c r="Z35" s="22"/>
      <c r="AA35" s="22" t="s">
        <v>251</v>
      </c>
      <c r="AB35" s="22"/>
    </row>
    <row r="36" spans="1:28" ht="59.25" customHeight="1" x14ac:dyDescent="0.35">
      <c r="A36" s="31"/>
      <c r="B36" s="31"/>
      <c r="C36" s="32"/>
      <c r="D36" s="32"/>
      <c r="E36" s="33"/>
      <c r="F36" s="30"/>
      <c r="G36" s="34"/>
      <c r="H36" s="22" t="s">
        <v>252</v>
      </c>
      <c r="I36" s="22" t="s">
        <v>253</v>
      </c>
      <c r="J36" s="22" t="s">
        <v>179</v>
      </c>
      <c r="K36" s="22"/>
      <c r="L36" s="22"/>
      <c r="M36" s="22" t="s">
        <v>40</v>
      </c>
      <c r="N36" s="22">
        <v>2</v>
      </c>
      <c r="O36" s="22">
        <v>2</v>
      </c>
      <c r="P36" s="22">
        <f t="shared" si="6"/>
        <v>4</v>
      </c>
      <c r="Q36" s="6" t="str">
        <f t="shared" si="1"/>
        <v>B</v>
      </c>
      <c r="R36" s="22">
        <v>10</v>
      </c>
      <c r="S36" s="22">
        <f t="shared" si="7"/>
        <v>40</v>
      </c>
      <c r="T36" s="23" t="str">
        <f t="shared" si="5"/>
        <v>III</v>
      </c>
      <c r="U36" s="6" t="str">
        <f t="shared" si="4"/>
        <v>MEJORABLE</v>
      </c>
      <c r="V36" s="30"/>
      <c r="W36" s="22" t="s">
        <v>254</v>
      </c>
      <c r="X36" s="22"/>
      <c r="Y36" s="22"/>
      <c r="Z36" s="22"/>
      <c r="AA36" s="22" t="s">
        <v>255</v>
      </c>
      <c r="AB36" s="22"/>
    </row>
    <row r="37" spans="1:28" ht="85.5" customHeight="1" x14ac:dyDescent="0.35">
      <c r="A37" s="31"/>
      <c r="B37" s="31"/>
      <c r="C37" s="32"/>
      <c r="D37" s="32"/>
      <c r="E37" s="33"/>
      <c r="F37" s="30"/>
      <c r="G37" s="34"/>
      <c r="H37" s="30" t="s">
        <v>56</v>
      </c>
      <c r="I37" s="22" t="s">
        <v>144</v>
      </c>
      <c r="J37" s="22" t="s">
        <v>140</v>
      </c>
      <c r="K37" s="22"/>
      <c r="L37" s="22" t="s">
        <v>139</v>
      </c>
      <c r="M37" s="22" t="s">
        <v>135</v>
      </c>
      <c r="N37" s="22">
        <v>2</v>
      </c>
      <c r="O37" s="22">
        <v>2</v>
      </c>
      <c r="P37" s="22">
        <f t="shared" si="6"/>
        <v>4</v>
      </c>
      <c r="Q37" s="6" t="str">
        <f t="shared" si="1"/>
        <v>B</v>
      </c>
      <c r="R37" s="22">
        <v>10</v>
      </c>
      <c r="S37" s="22">
        <f t="shared" si="7"/>
        <v>40</v>
      </c>
      <c r="T37" s="23" t="str">
        <f t="shared" si="5"/>
        <v>III</v>
      </c>
      <c r="U37" s="6" t="str">
        <f t="shared" si="4"/>
        <v>MEJORABLE</v>
      </c>
      <c r="V37" s="30"/>
      <c r="W37" s="22" t="s">
        <v>60</v>
      </c>
      <c r="X37" s="22"/>
      <c r="Y37" s="22"/>
      <c r="Z37" s="22" t="s">
        <v>61</v>
      </c>
      <c r="AA37" s="22" t="s">
        <v>130</v>
      </c>
      <c r="AB37" s="22"/>
    </row>
    <row r="38" spans="1:28" ht="109.5" customHeight="1" x14ac:dyDescent="0.35">
      <c r="A38" s="31"/>
      <c r="B38" s="31"/>
      <c r="C38" s="32"/>
      <c r="D38" s="32"/>
      <c r="E38" s="33"/>
      <c r="F38" s="30"/>
      <c r="G38" s="34"/>
      <c r="H38" s="30"/>
      <c r="I38" s="22" t="s">
        <v>256</v>
      </c>
      <c r="J38" s="22" t="s">
        <v>257</v>
      </c>
      <c r="K38" s="22"/>
      <c r="L38" s="22"/>
      <c r="M38" s="22" t="s">
        <v>258</v>
      </c>
      <c r="N38" s="22">
        <v>2</v>
      </c>
      <c r="O38" s="22">
        <v>2</v>
      </c>
      <c r="P38" s="22">
        <f t="shared" si="6"/>
        <v>4</v>
      </c>
      <c r="Q38" s="6" t="str">
        <f t="shared" si="1"/>
        <v>B</v>
      </c>
      <c r="R38" s="22">
        <v>10</v>
      </c>
      <c r="S38" s="22">
        <f t="shared" si="7"/>
        <v>40</v>
      </c>
      <c r="T38" s="23" t="str">
        <f t="shared" si="5"/>
        <v>III</v>
      </c>
      <c r="U38" s="6" t="str">
        <f t="shared" si="4"/>
        <v>MEJORABLE</v>
      </c>
      <c r="V38" s="30"/>
      <c r="W38" s="22" t="s">
        <v>58</v>
      </c>
      <c r="X38" s="22"/>
      <c r="Y38" s="22"/>
      <c r="Z38" s="22"/>
      <c r="AA38" s="22" t="s">
        <v>44</v>
      </c>
      <c r="AB38" s="22" t="s">
        <v>259</v>
      </c>
    </row>
    <row r="39" spans="1:28" ht="192.75" customHeight="1" x14ac:dyDescent="0.35">
      <c r="A39" s="31"/>
      <c r="B39" s="31" t="s">
        <v>153</v>
      </c>
      <c r="C39" s="32" t="s">
        <v>186</v>
      </c>
      <c r="D39" s="32" t="s">
        <v>187</v>
      </c>
      <c r="E39" s="30" t="s">
        <v>188</v>
      </c>
      <c r="F39" s="30" t="s">
        <v>189</v>
      </c>
      <c r="G39" s="34"/>
      <c r="H39" s="30" t="s">
        <v>41</v>
      </c>
      <c r="I39" s="22" t="s">
        <v>163</v>
      </c>
      <c r="J39" s="22" t="s">
        <v>95</v>
      </c>
      <c r="K39" s="22"/>
      <c r="L39" s="22"/>
      <c r="M39" s="22" t="s">
        <v>96</v>
      </c>
      <c r="N39" s="22">
        <v>2</v>
      </c>
      <c r="O39" s="22">
        <v>2</v>
      </c>
      <c r="P39" s="22">
        <f t="shared" si="6"/>
        <v>4</v>
      </c>
      <c r="Q39" s="6" t="str">
        <f t="shared" si="1"/>
        <v>B</v>
      </c>
      <c r="R39" s="22">
        <v>25</v>
      </c>
      <c r="S39" s="22">
        <f t="shared" si="7"/>
        <v>100</v>
      </c>
      <c r="T39" s="23" t="str">
        <f t="shared" si="5"/>
        <v>III</v>
      </c>
      <c r="U39" s="6" t="str">
        <f t="shared" si="4"/>
        <v>MEJORABLE</v>
      </c>
      <c r="V39" s="41">
        <v>6</v>
      </c>
      <c r="W39" s="22" t="s">
        <v>97</v>
      </c>
      <c r="X39" s="22"/>
      <c r="Y39" s="22"/>
      <c r="Z39" s="22"/>
      <c r="AA39" s="22"/>
      <c r="AB39" s="22" t="s">
        <v>96</v>
      </c>
    </row>
    <row r="40" spans="1:28" ht="97.5" customHeight="1" x14ac:dyDescent="0.35">
      <c r="A40" s="31"/>
      <c r="B40" s="31"/>
      <c r="C40" s="32"/>
      <c r="D40" s="32"/>
      <c r="E40" s="30"/>
      <c r="F40" s="30"/>
      <c r="G40" s="34"/>
      <c r="H40" s="30"/>
      <c r="I40" s="22" t="s">
        <v>164</v>
      </c>
      <c r="J40" s="22" t="s">
        <v>165</v>
      </c>
      <c r="K40" s="22"/>
      <c r="L40" s="22"/>
      <c r="M40" s="22" t="s">
        <v>166</v>
      </c>
      <c r="N40" s="22">
        <v>2</v>
      </c>
      <c r="O40" s="22">
        <v>2</v>
      </c>
      <c r="P40" s="22">
        <f t="shared" si="6"/>
        <v>4</v>
      </c>
      <c r="Q40" s="6" t="str">
        <f t="shared" si="1"/>
        <v>B</v>
      </c>
      <c r="R40" s="22">
        <v>25</v>
      </c>
      <c r="S40" s="22">
        <f t="shared" si="7"/>
        <v>100</v>
      </c>
      <c r="T40" s="23" t="str">
        <f t="shared" si="5"/>
        <v>III</v>
      </c>
      <c r="U40" s="6" t="str">
        <f t="shared" si="4"/>
        <v>MEJORABLE</v>
      </c>
      <c r="V40" s="41"/>
      <c r="W40" s="22" t="s">
        <v>167</v>
      </c>
      <c r="X40" s="22"/>
      <c r="Y40" s="22"/>
      <c r="Z40" s="22"/>
      <c r="AA40" s="22" t="s">
        <v>168</v>
      </c>
      <c r="AB40" s="22" t="s">
        <v>166</v>
      </c>
    </row>
    <row r="41" spans="1:28" ht="93" customHeight="1" x14ac:dyDescent="0.35">
      <c r="A41" s="31"/>
      <c r="B41" s="31"/>
      <c r="C41" s="32"/>
      <c r="D41" s="32"/>
      <c r="E41" s="30"/>
      <c r="F41" s="30"/>
      <c r="G41" s="34"/>
      <c r="H41" s="30"/>
      <c r="I41" s="22" t="s">
        <v>169</v>
      </c>
      <c r="J41" s="22" t="s">
        <v>170</v>
      </c>
      <c r="K41" s="22"/>
      <c r="L41" s="22"/>
      <c r="M41" s="22" t="s">
        <v>98</v>
      </c>
      <c r="N41" s="22">
        <v>2</v>
      </c>
      <c r="O41" s="22">
        <v>2</v>
      </c>
      <c r="P41" s="22">
        <f t="shared" si="6"/>
        <v>4</v>
      </c>
      <c r="Q41" s="6" t="str">
        <f t="shared" si="1"/>
        <v>B</v>
      </c>
      <c r="R41" s="22">
        <v>25</v>
      </c>
      <c r="S41" s="22">
        <f t="shared" si="7"/>
        <v>100</v>
      </c>
      <c r="T41" s="23" t="str">
        <f t="shared" si="5"/>
        <v>III</v>
      </c>
      <c r="U41" s="6" t="str">
        <f t="shared" si="4"/>
        <v>MEJORABLE</v>
      </c>
      <c r="V41" s="41"/>
      <c r="W41" s="22" t="s">
        <v>42</v>
      </c>
      <c r="X41" s="22"/>
      <c r="Y41" s="22"/>
      <c r="Z41" s="22"/>
      <c r="AA41" s="22" t="s">
        <v>171</v>
      </c>
      <c r="AB41" s="22" t="s">
        <v>172</v>
      </c>
    </row>
    <row r="42" spans="1:28" ht="81.75" customHeight="1" x14ac:dyDescent="0.35">
      <c r="A42" s="31"/>
      <c r="B42" s="31"/>
      <c r="C42" s="32"/>
      <c r="D42" s="32"/>
      <c r="E42" s="30"/>
      <c r="F42" s="30"/>
      <c r="G42" s="34"/>
      <c r="H42" s="30"/>
      <c r="I42" s="22" t="s">
        <v>62</v>
      </c>
      <c r="J42" s="22" t="s">
        <v>63</v>
      </c>
      <c r="K42" s="22" t="s">
        <v>64</v>
      </c>
      <c r="L42" s="22"/>
      <c r="M42" s="22" t="s">
        <v>65</v>
      </c>
      <c r="N42" s="22">
        <v>2</v>
      </c>
      <c r="O42" s="22">
        <v>2</v>
      </c>
      <c r="P42" s="22">
        <f t="shared" si="6"/>
        <v>4</v>
      </c>
      <c r="Q42" s="6" t="str">
        <f t="shared" si="1"/>
        <v>B</v>
      </c>
      <c r="R42" s="22">
        <v>25</v>
      </c>
      <c r="S42" s="22">
        <f t="shared" si="7"/>
        <v>100</v>
      </c>
      <c r="T42" s="23" t="str">
        <f t="shared" si="5"/>
        <v>III</v>
      </c>
      <c r="U42" s="6" t="str">
        <f t="shared" si="4"/>
        <v>MEJORABLE</v>
      </c>
      <c r="V42" s="41"/>
      <c r="W42" s="22" t="s">
        <v>66</v>
      </c>
      <c r="X42" s="22"/>
      <c r="Y42" s="22"/>
      <c r="Z42" s="22"/>
      <c r="AA42" s="22" t="s">
        <v>78</v>
      </c>
      <c r="AB42" s="22"/>
    </row>
    <row r="43" spans="1:28" ht="71.25" customHeight="1" x14ac:dyDescent="0.35">
      <c r="A43" s="31"/>
      <c r="B43" s="31"/>
      <c r="C43" s="32"/>
      <c r="D43" s="32"/>
      <c r="E43" s="30"/>
      <c r="F43" s="30"/>
      <c r="G43" s="34"/>
      <c r="H43" s="30"/>
      <c r="I43" s="22" t="s">
        <v>99</v>
      </c>
      <c r="J43" s="22" t="s">
        <v>68</v>
      </c>
      <c r="K43" s="22"/>
      <c r="L43" s="22"/>
      <c r="M43" s="22" t="s">
        <v>83</v>
      </c>
      <c r="N43" s="22">
        <v>2</v>
      </c>
      <c r="O43" s="22">
        <v>2</v>
      </c>
      <c r="P43" s="22">
        <f t="shared" si="6"/>
        <v>4</v>
      </c>
      <c r="Q43" s="6" t="str">
        <f t="shared" si="1"/>
        <v>B</v>
      </c>
      <c r="R43" s="22">
        <v>10</v>
      </c>
      <c r="S43" s="22">
        <f t="shared" si="7"/>
        <v>40</v>
      </c>
      <c r="T43" s="23" t="str">
        <f t="shared" si="5"/>
        <v>III</v>
      </c>
      <c r="U43" s="6" t="str">
        <f t="shared" si="4"/>
        <v>MEJORABLE</v>
      </c>
      <c r="V43" s="41"/>
      <c r="W43" s="22" t="s">
        <v>69</v>
      </c>
      <c r="X43" s="22"/>
      <c r="Y43" s="22"/>
      <c r="Z43" s="22"/>
      <c r="AA43" s="22" t="s">
        <v>70</v>
      </c>
      <c r="AB43" s="22"/>
    </row>
    <row r="44" spans="1:28" ht="64.5" customHeight="1" x14ac:dyDescent="0.35">
      <c r="A44" s="31"/>
      <c r="B44" s="31"/>
      <c r="C44" s="32"/>
      <c r="D44" s="32"/>
      <c r="E44" s="30"/>
      <c r="F44" s="30"/>
      <c r="G44" s="34"/>
      <c r="H44" s="30"/>
      <c r="I44" s="22" t="s">
        <v>84</v>
      </c>
      <c r="J44" s="22" t="s">
        <v>85</v>
      </c>
      <c r="K44" s="22"/>
      <c r="L44" s="22"/>
      <c r="M44" s="22" t="s">
        <v>86</v>
      </c>
      <c r="N44" s="22">
        <v>2</v>
      </c>
      <c r="O44" s="22">
        <v>2</v>
      </c>
      <c r="P44" s="22">
        <f t="shared" si="6"/>
        <v>4</v>
      </c>
      <c r="Q44" s="6" t="str">
        <f t="shared" si="1"/>
        <v>B</v>
      </c>
      <c r="R44" s="22">
        <v>10</v>
      </c>
      <c r="S44" s="22">
        <f t="shared" si="7"/>
        <v>40</v>
      </c>
      <c r="T44" s="23" t="str">
        <f t="shared" si="5"/>
        <v>III</v>
      </c>
      <c r="U44" s="6" t="str">
        <f t="shared" si="4"/>
        <v>MEJORABLE</v>
      </c>
      <c r="V44" s="41"/>
      <c r="W44" s="22" t="s">
        <v>46</v>
      </c>
      <c r="X44" s="22"/>
      <c r="Y44" s="22"/>
      <c r="Z44" s="22"/>
      <c r="AA44" s="22" t="s">
        <v>87</v>
      </c>
      <c r="AB44" s="22" t="s">
        <v>88</v>
      </c>
    </row>
    <row r="45" spans="1:28" ht="64.5" customHeight="1" x14ac:dyDescent="0.35">
      <c r="A45" s="31"/>
      <c r="B45" s="31"/>
      <c r="C45" s="32"/>
      <c r="D45" s="32"/>
      <c r="E45" s="30"/>
      <c r="F45" s="30"/>
      <c r="G45" s="34"/>
      <c r="H45" s="30" t="s">
        <v>56</v>
      </c>
      <c r="I45" s="22" t="s">
        <v>144</v>
      </c>
      <c r="J45" s="22" t="s">
        <v>173</v>
      </c>
      <c r="K45" s="22"/>
      <c r="L45" s="22" t="s">
        <v>174</v>
      </c>
      <c r="M45" s="22" t="s">
        <v>175</v>
      </c>
      <c r="N45" s="22">
        <v>2</v>
      </c>
      <c r="O45" s="22">
        <v>2</v>
      </c>
      <c r="P45" s="22">
        <f t="shared" si="6"/>
        <v>4</v>
      </c>
      <c r="Q45" s="6" t="str">
        <f t="shared" si="1"/>
        <v>B</v>
      </c>
      <c r="R45" s="22">
        <v>25</v>
      </c>
      <c r="S45" s="22">
        <f t="shared" si="7"/>
        <v>100</v>
      </c>
      <c r="T45" s="23" t="str">
        <f t="shared" si="5"/>
        <v>III</v>
      </c>
      <c r="U45" s="6" t="str">
        <f t="shared" si="4"/>
        <v>MEJORABLE</v>
      </c>
      <c r="V45" s="41"/>
      <c r="W45" s="22" t="s">
        <v>60</v>
      </c>
      <c r="X45" s="22"/>
      <c r="Y45" s="22"/>
      <c r="Z45" s="22" t="s">
        <v>61</v>
      </c>
      <c r="AA45" s="22" t="s">
        <v>176</v>
      </c>
      <c r="AB45" s="22" t="s">
        <v>177</v>
      </c>
    </row>
    <row r="46" spans="1:28" ht="121.5" customHeight="1" x14ac:dyDescent="0.35">
      <c r="A46" s="31"/>
      <c r="B46" s="31"/>
      <c r="C46" s="32"/>
      <c r="D46" s="32"/>
      <c r="E46" s="30"/>
      <c r="F46" s="30"/>
      <c r="G46" s="34"/>
      <c r="H46" s="30"/>
      <c r="I46" s="22" t="s">
        <v>71</v>
      </c>
      <c r="J46" s="22" t="s">
        <v>57</v>
      </c>
      <c r="K46" s="22"/>
      <c r="L46" s="22"/>
      <c r="M46" s="22" t="s">
        <v>72</v>
      </c>
      <c r="N46" s="22">
        <v>2</v>
      </c>
      <c r="O46" s="22">
        <v>2</v>
      </c>
      <c r="P46" s="22">
        <f t="shared" si="6"/>
        <v>4</v>
      </c>
      <c r="Q46" s="6" t="str">
        <f t="shared" si="1"/>
        <v>B</v>
      </c>
      <c r="R46" s="22">
        <v>10</v>
      </c>
      <c r="S46" s="22">
        <f t="shared" si="7"/>
        <v>40</v>
      </c>
      <c r="T46" s="23" t="str">
        <f t="shared" si="5"/>
        <v>III</v>
      </c>
      <c r="U46" s="6" t="str">
        <f t="shared" si="4"/>
        <v>MEJORABLE</v>
      </c>
      <c r="V46" s="41"/>
      <c r="W46" s="22" t="s">
        <v>58</v>
      </c>
      <c r="X46" s="22"/>
      <c r="Y46" s="22"/>
      <c r="Z46" s="22"/>
      <c r="AA46" s="22" t="s">
        <v>44</v>
      </c>
      <c r="AB46" s="22" t="s">
        <v>59</v>
      </c>
    </row>
    <row r="47" spans="1:28" ht="102" customHeight="1" x14ac:dyDescent="0.35">
      <c r="A47" s="31"/>
      <c r="B47" s="31"/>
      <c r="C47" s="32"/>
      <c r="D47" s="32"/>
      <c r="E47" s="30"/>
      <c r="F47" s="30"/>
      <c r="G47" s="34"/>
      <c r="H47" s="30" t="s">
        <v>48</v>
      </c>
      <c r="I47" s="22" t="s">
        <v>100</v>
      </c>
      <c r="J47" s="22" t="s">
        <v>101</v>
      </c>
      <c r="K47" s="22"/>
      <c r="L47" s="22"/>
      <c r="M47" s="22" t="s">
        <v>37</v>
      </c>
      <c r="N47" s="22">
        <v>2</v>
      </c>
      <c r="O47" s="22">
        <v>2</v>
      </c>
      <c r="P47" s="22">
        <f t="shared" si="6"/>
        <v>4</v>
      </c>
      <c r="Q47" s="6" t="str">
        <f t="shared" si="1"/>
        <v>B</v>
      </c>
      <c r="R47" s="22">
        <v>25</v>
      </c>
      <c r="S47" s="22">
        <f t="shared" si="7"/>
        <v>100</v>
      </c>
      <c r="T47" s="23" t="str">
        <f t="shared" si="5"/>
        <v>III</v>
      </c>
      <c r="U47" s="6" t="str">
        <f t="shared" si="4"/>
        <v>MEJORABLE</v>
      </c>
      <c r="V47" s="41"/>
      <c r="W47" s="22" t="s">
        <v>102</v>
      </c>
      <c r="X47" s="22"/>
      <c r="Y47" s="22"/>
      <c r="Z47" s="22"/>
      <c r="AA47" s="22" t="s">
        <v>103</v>
      </c>
      <c r="AB47" s="22"/>
    </row>
    <row r="48" spans="1:28" ht="92.25" customHeight="1" x14ac:dyDescent="0.35">
      <c r="A48" s="31"/>
      <c r="B48" s="31"/>
      <c r="C48" s="32"/>
      <c r="D48" s="32"/>
      <c r="E48" s="30"/>
      <c r="F48" s="30"/>
      <c r="G48" s="34"/>
      <c r="H48" s="30"/>
      <c r="I48" s="22" t="s">
        <v>104</v>
      </c>
      <c r="J48" s="22" t="s">
        <v>105</v>
      </c>
      <c r="K48" s="22"/>
      <c r="L48" s="22"/>
      <c r="M48" s="22" t="s">
        <v>40</v>
      </c>
      <c r="N48" s="22">
        <v>2</v>
      </c>
      <c r="O48" s="22">
        <v>2</v>
      </c>
      <c r="P48" s="22">
        <f t="shared" si="6"/>
        <v>4</v>
      </c>
      <c r="Q48" s="6" t="str">
        <f t="shared" si="1"/>
        <v>B</v>
      </c>
      <c r="R48" s="22">
        <v>10</v>
      </c>
      <c r="S48" s="22">
        <f t="shared" si="7"/>
        <v>40</v>
      </c>
      <c r="T48" s="23" t="str">
        <f t="shared" si="5"/>
        <v>III</v>
      </c>
      <c r="U48" s="6" t="str">
        <f t="shared" si="4"/>
        <v>MEJORABLE</v>
      </c>
      <c r="V48" s="41"/>
      <c r="W48" s="22" t="s">
        <v>106</v>
      </c>
      <c r="X48" s="22"/>
      <c r="Y48" s="22"/>
      <c r="Z48" s="22"/>
      <c r="AA48" s="22" t="s">
        <v>107</v>
      </c>
      <c r="AB48" s="22"/>
    </row>
    <row r="49" spans="1:28" ht="149.25" customHeight="1" x14ac:dyDescent="0.35">
      <c r="A49" s="31"/>
      <c r="B49" s="31"/>
      <c r="C49" s="32"/>
      <c r="D49" s="32"/>
      <c r="E49" s="30"/>
      <c r="F49" s="30"/>
      <c r="G49" s="34"/>
      <c r="H49" s="22" t="s">
        <v>35</v>
      </c>
      <c r="I49" s="22" t="s">
        <v>43</v>
      </c>
      <c r="J49" s="22" t="s">
        <v>36</v>
      </c>
      <c r="K49" s="22"/>
      <c r="L49" s="22"/>
      <c r="M49" s="22" t="s">
        <v>37</v>
      </c>
      <c r="N49" s="22">
        <v>2</v>
      </c>
      <c r="O49" s="22">
        <v>3</v>
      </c>
      <c r="P49" s="22">
        <f t="shared" si="6"/>
        <v>6</v>
      </c>
      <c r="Q49" s="6" t="str">
        <f t="shared" si="1"/>
        <v>M</v>
      </c>
      <c r="R49" s="22">
        <v>10</v>
      </c>
      <c r="S49" s="22">
        <f t="shared" si="7"/>
        <v>60</v>
      </c>
      <c r="T49" s="23" t="str">
        <f t="shared" si="5"/>
        <v>III</v>
      </c>
      <c r="U49" s="6" t="str">
        <f t="shared" si="4"/>
        <v>MEJORABLE</v>
      </c>
      <c r="V49" s="41"/>
      <c r="W49" s="22" t="s">
        <v>38</v>
      </c>
      <c r="X49" s="22"/>
      <c r="Y49" s="22"/>
      <c r="Z49" s="22"/>
      <c r="AA49" s="22" t="s">
        <v>131</v>
      </c>
      <c r="AB49" s="22"/>
    </row>
    <row r="50" spans="1:28" ht="85.5" customHeight="1" x14ac:dyDescent="0.35">
      <c r="A50" s="31"/>
      <c r="B50" s="31"/>
      <c r="C50" s="32"/>
      <c r="D50" s="32"/>
      <c r="E50" s="30"/>
      <c r="F50" s="30"/>
      <c r="G50" s="34"/>
      <c r="H50" s="22" t="s">
        <v>108</v>
      </c>
      <c r="I50" s="22" t="s">
        <v>109</v>
      </c>
      <c r="J50" s="22" t="s">
        <v>110</v>
      </c>
      <c r="K50" s="22"/>
      <c r="L50" s="22"/>
      <c r="M50" s="22" t="s">
        <v>111</v>
      </c>
      <c r="N50" s="22">
        <v>2</v>
      </c>
      <c r="O50" s="22">
        <v>2</v>
      </c>
      <c r="P50" s="22">
        <f t="shared" si="6"/>
        <v>4</v>
      </c>
      <c r="Q50" s="6" t="str">
        <f t="shared" si="1"/>
        <v>B</v>
      </c>
      <c r="R50" s="22">
        <v>25</v>
      </c>
      <c r="S50" s="22">
        <f t="shared" si="7"/>
        <v>100</v>
      </c>
      <c r="T50" s="23" t="str">
        <f t="shared" si="5"/>
        <v>III</v>
      </c>
      <c r="U50" s="6" t="str">
        <f t="shared" si="4"/>
        <v>MEJORABLE</v>
      </c>
      <c r="V50" s="41"/>
      <c r="W50" s="22" t="s">
        <v>77</v>
      </c>
      <c r="X50" s="22"/>
      <c r="Y50" s="22"/>
      <c r="Z50" s="22"/>
      <c r="AA50" s="22" t="s">
        <v>112</v>
      </c>
      <c r="AB50" s="22" t="s">
        <v>113</v>
      </c>
    </row>
    <row r="51" spans="1:28" ht="80.25" customHeight="1" x14ac:dyDescent="0.35">
      <c r="A51" s="31"/>
      <c r="B51" s="31"/>
      <c r="C51" s="32"/>
      <c r="D51" s="32"/>
      <c r="E51" s="30"/>
      <c r="F51" s="30"/>
      <c r="G51" s="34"/>
      <c r="H51" s="30" t="s">
        <v>89</v>
      </c>
      <c r="I51" s="22" t="s">
        <v>45</v>
      </c>
      <c r="J51" s="22" t="s">
        <v>90</v>
      </c>
      <c r="K51" s="22"/>
      <c r="L51" s="22"/>
      <c r="M51" s="22" t="s">
        <v>114</v>
      </c>
      <c r="N51" s="22">
        <v>2</v>
      </c>
      <c r="O51" s="22">
        <v>2</v>
      </c>
      <c r="P51" s="22">
        <f t="shared" si="6"/>
        <v>4</v>
      </c>
      <c r="Q51" s="6" t="str">
        <f t="shared" si="1"/>
        <v>B</v>
      </c>
      <c r="R51" s="22">
        <v>10</v>
      </c>
      <c r="S51" s="22">
        <f t="shared" si="7"/>
        <v>40</v>
      </c>
      <c r="T51" s="23" t="str">
        <f t="shared" si="5"/>
        <v>III</v>
      </c>
      <c r="U51" s="6" t="str">
        <f t="shared" si="4"/>
        <v>MEJORABLE</v>
      </c>
      <c r="V51" s="41"/>
      <c r="W51" s="22" t="s">
        <v>92</v>
      </c>
      <c r="X51" s="22"/>
      <c r="Y51" s="22"/>
      <c r="Z51" s="22"/>
      <c r="AA51" s="22" t="s">
        <v>93</v>
      </c>
      <c r="AB51" s="22" t="s">
        <v>94</v>
      </c>
    </row>
    <row r="52" spans="1:28" ht="111.75" customHeight="1" x14ac:dyDescent="0.35">
      <c r="A52" s="31"/>
      <c r="B52" s="31"/>
      <c r="C52" s="32"/>
      <c r="D52" s="32"/>
      <c r="E52" s="30"/>
      <c r="F52" s="30"/>
      <c r="G52" s="34"/>
      <c r="H52" s="30"/>
      <c r="I52" s="22" t="s">
        <v>178</v>
      </c>
      <c r="J52" s="22" t="s">
        <v>179</v>
      </c>
      <c r="K52" s="22"/>
      <c r="L52" s="22"/>
      <c r="M52" s="22" t="s">
        <v>180</v>
      </c>
      <c r="N52" s="22">
        <v>2</v>
      </c>
      <c r="O52" s="22">
        <v>1</v>
      </c>
      <c r="P52" s="22">
        <f t="shared" si="6"/>
        <v>2</v>
      </c>
      <c r="Q52" s="6" t="str">
        <f t="shared" si="1"/>
        <v>B</v>
      </c>
      <c r="R52" s="22">
        <v>10</v>
      </c>
      <c r="S52" s="22">
        <f t="shared" si="7"/>
        <v>20</v>
      </c>
      <c r="T52" s="23" t="str">
        <f t="shared" si="5"/>
        <v>IV</v>
      </c>
      <c r="U52" s="6" t="str">
        <f t="shared" si="4"/>
        <v xml:space="preserve">ACEPTABLE </v>
      </c>
      <c r="V52" s="41"/>
      <c r="W52" s="22" t="s">
        <v>181</v>
      </c>
      <c r="X52" s="22"/>
      <c r="Y52" s="22"/>
      <c r="Z52" s="22"/>
      <c r="AA52" s="22" t="s">
        <v>182</v>
      </c>
      <c r="AB52" s="22" t="s">
        <v>183</v>
      </c>
    </row>
    <row r="53" spans="1:28" ht="80.25" customHeight="1" x14ac:dyDescent="0.35">
      <c r="A53" s="31"/>
      <c r="B53" s="31"/>
      <c r="C53" s="32"/>
      <c r="D53" s="32"/>
      <c r="E53" s="30"/>
      <c r="F53" s="30"/>
      <c r="G53" s="34"/>
      <c r="H53" s="30"/>
      <c r="I53" s="22" t="s">
        <v>115</v>
      </c>
      <c r="J53" s="22" t="s">
        <v>116</v>
      </c>
      <c r="K53" s="22"/>
      <c r="L53" s="22"/>
      <c r="M53" s="22" t="s">
        <v>98</v>
      </c>
      <c r="N53" s="22">
        <v>2</v>
      </c>
      <c r="O53" s="22">
        <v>1</v>
      </c>
      <c r="P53" s="22">
        <f t="shared" si="6"/>
        <v>2</v>
      </c>
      <c r="Q53" s="6" t="str">
        <f t="shared" si="1"/>
        <v>B</v>
      </c>
      <c r="R53" s="22">
        <v>25</v>
      </c>
      <c r="S53" s="22">
        <f t="shared" si="7"/>
        <v>50</v>
      </c>
      <c r="T53" s="23" t="str">
        <f t="shared" si="5"/>
        <v>III</v>
      </c>
      <c r="U53" s="6" t="str">
        <f t="shared" si="4"/>
        <v>MEJORABLE</v>
      </c>
      <c r="V53" s="41"/>
      <c r="W53" s="22" t="s">
        <v>42</v>
      </c>
      <c r="X53" s="22"/>
      <c r="Y53" s="22"/>
      <c r="Z53" s="22"/>
      <c r="AA53" s="22" t="s">
        <v>117</v>
      </c>
      <c r="AB53" s="22" t="s">
        <v>98</v>
      </c>
    </row>
    <row r="54" spans="1:28" ht="66" customHeight="1" x14ac:dyDescent="0.35">
      <c r="A54" s="31"/>
      <c r="B54" s="31"/>
      <c r="C54" s="32" t="s">
        <v>280</v>
      </c>
      <c r="D54" s="32"/>
      <c r="E54" s="30" t="s">
        <v>265</v>
      </c>
      <c r="F54" s="30" t="s">
        <v>266</v>
      </c>
      <c r="G54" s="34"/>
      <c r="H54" s="30" t="s">
        <v>89</v>
      </c>
      <c r="I54" s="22" t="s">
        <v>267</v>
      </c>
      <c r="J54" s="22" t="s">
        <v>268</v>
      </c>
      <c r="K54" s="22"/>
      <c r="L54" s="22"/>
      <c r="M54" s="22" t="s">
        <v>269</v>
      </c>
      <c r="N54" s="22">
        <v>2</v>
      </c>
      <c r="O54" s="22">
        <v>2</v>
      </c>
      <c r="P54" s="22">
        <f t="shared" si="6"/>
        <v>4</v>
      </c>
      <c r="Q54" s="6" t="str">
        <f t="shared" si="1"/>
        <v>B</v>
      </c>
      <c r="R54" s="22">
        <v>25</v>
      </c>
      <c r="S54" s="22">
        <f t="shared" si="7"/>
        <v>100</v>
      </c>
      <c r="T54" s="23" t="str">
        <f t="shared" si="5"/>
        <v>III</v>
      </c>
      <c r="U54" s="6" t="str">
        <f t="shared" si="4"/>
        <v>MEJORABLE</v>
      </c>
      <c r="V54" s="33">
        <v>1</v>
      </c>
      <c r="W54" s="22" t="s">
        <v>270</v>
      </c>
      <c r="X54" s="22"/>
      <c r="Y54" s="22"/>
      <c r="Z54" s="22"/>
      <c r="AA54" s="22" t="s">
        <v>271</v>
      </c>
      <c r="AB54" s="22" t="s">
        <v>272</v>
      </c>
    </row>
    <row r="55" spans="1:28" ht="66" customHeight="1" x14ac:dyDescent="0.35">
      <c r="A55" s="31"/>
      <c r="B55" s="31"/>
      <c r="C55" s="32"/>
      <c r="D55" s="32"/>
      <c r="E55" s="30"/>
      <c r="F55" s="30"/>
      <c r="G55" s="34"/>
      <c r="H55" s="30"/>
      <c r="I55" s="22" t="s">
        <v>273</v>
      </c>
      <c r="J55" s="22" t="s">
        <v>274</v>
      </c>
      <c r="K55" s="22"/>
      <c r="L55" s="22"/>
      <c r="M55" s="22" t="s">
        <v>275</v>
      </c>
      <c r="N55" s="22">
        <v>2</v>
      </c>
      <c r="O55" s="22">
        <v>2</v>
      </c>
      <c r="P55" s="22">
        <f t="shared" si="6"/>
        <v>4</v>
      </c>
      <c r="Q55" s="6" t="str">
        <f t="shared" si="1"/>
        <v>B</v>
      </c>
      <c r="R55" s="22">
        <v>25</v>
      </c>
      <c r="S55" s="22">
        <f t="shared" si="7"/>
        <v>100</v>
      </c>
      <c r="T55" s="23" t="str">
        <f t="shared" si="5"/>
        <v>III</v>
      </c>
      <c r="U55" s="6" t="str">
        <f t="shared" si="4"/>
        <v>MEJORABLE</v>
      </c>
      <c r="V55" s="33"/>
      <c r="W55" s="24" t="s">
        <v>276</v>
      </c>
      <c r="X55" s="22"/>
      <c r="Y55" s="22"/>
      <c r="Z55" s="22"/>
      <c r="AA55" s="22" t="s">
        <v>271</v>
      </c>
      <c r="AB55" s="22" t="s">
        <v>277</v>
      </c>
    </row>
    <row r="56" spans="1:28" ht="107.25" customHeight="1" x14ac:dyDescent="0.35">
      <c r="A56" s="31"/>
      <c r="B56" s="31"/>
      <c r="C56" s="32"/>
      <c r="D56" s="32"/>
      <c r="E56" s="30"/>
      <c r="F56" s="30"/>
      <c r="G56" s="34"/>
      <c r="H56" s="30"/>
      <c r="I56" s="22" t="s">
        <v>45</v>
      </c>
      <c r="J56" s="22" t="s">
        <v>90</v>
      </c>
      <c r="K56" s="22"/>
      <c r="L56" s="22"/>
      <c r="M56" s="22" t="s">
        <v>91</v>
      </c>
      <c r="N56" s="22">
        <v>2</v>
      </c>
      <c r="O56" s="22">
        <v>2</v>
      </c>
      <c r="P56" s="22">
        <f t="shared" si="6"/>
        <v>4</v>
      </c>
      <c r="Q56" s="6" t="str">
        <f t="shared" si="1"/>
        <v>B</v>
      </c>
      <c r="R56" s="22">
        <v>9</v>
      </c>
      <c r="S56" s="22">
        <f t="shared" si="7"/>
        <v>36</v>
      </c>
      <c r="T56" s="23" t="str">
        <f t="shared" si="5"/>
        <v>IV</v>
      </c>
      <c r="U56" s="6" t="str">
        <f t="shared" si="4"/>
        <v xml:space="preserve">ACEPTABLE </v>
      </c>
      <c r="V56" s="33"/>
      <c r="W56" s="22" t="s">
        <v>92</v>
      </c>
      <c r="X56" s="22"/>
      <c r="Y56" s="22"/>
      <c r="Z56" s="22"/>
      <c r="AA56" s="22" t="s">
        <v>93</v>
      </c>
      <c r="AB56" s="22" t="s">
        <v>185</v>
      </c>
    </row>
    <row r="57" spans="1:28" ht="64.5" customHeight="1" x14ac:dyDescent="0.35">
      <c r="A57" s="31"/>
      <c r="B57" s="31"/>
      <c r="C57" s="32"/>
      <c r="D57" s="32"/>
      <c r="E57" s="30"/>
      <c r="F57" s="30"/>
      <c r="G57" s="34"/>
      <c r="H57" s="22" t="s">
        <v>56</v>
      </c>
      <c r="I57" s="22" t="s">
        <v>144</v>
      </c>
      <c r="J57" s="22" t="s">
        <v>190</v>
      </c>
      <c r="K57" s="22"/>
      <c r="L57" s="22" t="s">
        <v>278</v>
      </c>
      <c r="M57" s="22" t="s">
        <v>136</v>
      </c>
      <c r="N57" s="22">
        <v>2</v>
      </c>
      <c r="O57" s="22">
        <v>3</v>
      </c>
      <c r="P57" s="22">
        <f t="shared" si="6"/>
        <v>6</v>
      </c>
      <c r="Q57" s="6" t="str">
        <f t="shared" si="1"/>
        <v>M</v>
      </c>
      <c r="R57" s="22">
        <v>10</v>
      </c>
      <c r="S57" s="22">
        <f t="shared" si="7"/>
        <v>60</v>
      </c>
      <c r="T57" s="23" t="str">
        <f t="shared" si="5"/>
        <v>III</v>
      </c>
      <c r="U57" s="6" t="str">
        <f t="shared" si="4"/>
        <v>MEJORABLE</v>
      </c>
      <c r="V57" s="33"/>
      <c r="W57" s="22" t="s">
        <v>279</v>
      </c>
      <c r="X57" s="22"/>
      <c r="Y57" s="22"/>
      <c r="Z57" s="22" t="s">
        <v>61</v>
      </c>
      <c r="AA57" s="22" t="s">
        <v>130</v>
      </c>
      <c r="AB57" s="22"/>
    </row>
    <row r="58" spans="1:28" ht="147" customHeight="1" x14ac:dyDescent="0.35">
      <c r="A58" s="31"/>
      <c r="B58" s="31"/>
      <c r="C58" s="32" t="s">
        <v>263</v>
      </c>
      <c r="D58" s="32"/>
      <c r="E58" s="30" t="s">
        <v>218</v>
      </c>
      <c r="F58" s="30" t="s">
        <v>264</v>
      </c>
      <c r="G58" s="34"/>
      <c r="H58" s="30" t="s">
        <v>48</v>
      </c>
      <c r="I58" s="25" t="s">
        <v>219</v>
      </c>
      <c r="J58" s="25" t="s">
        <v>220</v>
      </c>
      <c r="K58" s="25"/>
      <c r="L58" s="25"/>
      <c r="M58" s="25" t="s">
        <v>52</v>
      </c>
      <c r="N58" s="22">
        <v>2</v>
      </c>
      <c r="O58" s="22">
        <v>3</v>
      </c>
      <c r="P58" s="22">
        <f t="shared" si="6"/>
        <v>6</v>
      </c>
      <c r="Q58" s="6" t="str">
        <f t="shared" si="1"/>
        <v>M</v>
      </c>
      <c r="R58" s="26">
        <v>25</v>
      </c>
      <c r="S58" s="26">
        <f t="shared" si="7"/>
        <v>150</v>
      </c>
      <c r="T58" s="27" t="str">
        <f t="shared" si="5"/>
        <v>II</v>
      </c>
      <c r="U58" s="28" t="str">
        <f t="shared" si="4"/>
        <v>ACEPTABLE CON CONTROL ESPECIFICO</v>
      </c>
      <c r="V58" s="41">
        <v>11</v>
      </c>
      <c r="W58" s="22" t="s">
        <v>221</v>
      </c>
      <c r="X58" s="29"/>
      <c r="Y58" s="29"/>
      <c r="Z58" s="29"/>
      <c r="AA58" s="25" t="s">
        <v>118</v>
      </c>
      <c r="AB58" s="29"/>
    </row>
    <row r="59" spans="1:28" ht="147" customHeight="1" x14ac:dyDescent="0.35">
      <c r="A59" s="31"/>
      <c r="B59" s="31"/>
      <c r="C59" s="32"/>
      <c r="D59" s="32"/>
      <c r="E59" s="30"/>
      <c r="F59" s="30"/>
      <c r="G59" s="34"/>
      <c r="H59" s="30"/>
      <c r="I59" s="25" t="s">
        <v>222</v>
      </c>
      <c r="J59" s="25" t="s">
        <v>223</v>
      </c>
      <c r="K59" s="25"/>
      <c r="L59" s="25"/>
      <c r="M59" s="25" t="s">
        <v>224</v>
      </c>
      <c r="N59" s="22">
        <v>2</v>
      </c>
      <c r="O59" s="22">
        <v>3</v>
      </c>
      <c r="P59" s="22">
        <f t="shared" si="6"/>
        <v>6</v>
      </c>
      <c r="Q59" s="6" t="str">
        <f t="shared" si="1"/>
        <v>M</v>
      </c>
      <c r="R59" s="26">
        <v>25</v>
      </c>
      <c r="S59" s="26">
        <f t="shared" si="7"/>
        <v>150</v>
      </c>
      <c r="T59" s="27" t="str">
        <f t="shared" si="5"/>
        <v>II</v>
      </c>
      <c r="U59" s="28" t="str">
        <f t="shared" si="4"/>
        <v>ACEPTABLE CON CONTROL ESPECIFICO</v>
      </c>
      <c r="V59" s="41"/>
      <c r="W59" s="26" t="s">
        <v>225</v>
      </c>
      <c r="X59" s="26"/>
      <c r="Y59" s="26"/>
      <c r="Z59" s="26"/>
      <c r="AA59" s="25" t="s">
        <v>226</v>
      </c>
      <c r="AB59" s="26"/>
    </row>
    <row r="60" spans="1:28" ht="147" customHeight="1" x14ac:dyDescent="0.35">
      <c r="A60" s="31"/>
      <c r="B60" s="31"/>
      <c r="C60" s="32"/>
      <c r="D60" s="32"/>
      <c r="E60" s="30"/>
      <c r="F60" s="30"/>
      <c r="G60" s="34"/>
      <c r="H60" s="41" t="s">
        <v>227</v>
      </c>
      <c r="I60" s="25" t="s">
        <v>99</v>
      </c>
      <c r="J60" s="25" t="s">
        <v>228</v>
      </c>
      <c r="K60" s="25"/>
      <c r="L60" s="25" t="s">
        <v>229</v>
      </c>
      <c r="M60" s="25"/>
      <c r="N60" s="22">
        <v>2</v>
      </c>
      <c r="O60" s="22">
        <v>3</v>
      </c>
      <c r="P60" s="22">
        <f t="shared" si="6"/>
        <v>6</v>
      </c>
      <c r="Q60" s="6" t="str">
        <f t="shared" si="1"/>
        <v>M</v>
      </c>
      <c r="R60" s="26">
        <v>10</v>
      </c>
      <c r="S60" s="26">
        <f t="shared" si="7"/>
        <v>60</v>
      </c>
      <c r="T60" s="27" t="str">
        <f t="shared" si="5"/>
        <v>III</v>
      </c>
      <c r="U60" s="28" t="str">
        <f t="shared" si="4"/>
        <v>MEJORABLE</v>
      </c>
      <c r="V60" s="41"/>
      <c r="W60" s="26" t="s">
        <v>230</v>
      </c>
      <c r="X60" s="26"/>
      <c r="Y60" s="26"/>
      <c r="Z60" s="22" t="s">
        <v>231</v>
      </c>
      <c r="AA60" s="25"/>
      <c r="AB60" s="26"/>
    </row>
    <row r="61" spans="1:28" ht="147" customHeight="1" x14ac:dyDescent="0.35">
      <c r="A61" s="31"/>
      <c r="B61" s="31"/>
      <c r="C61" s="32"/>
      <c r="D61" s="32"/>
      <c r="E61" s="30"/>
      <c r="F61" s="30"/>
      <c r="G61" s="34"/>
      <c r="H61" s="41"/>
      <c r="I61" s="25" t="s">
        <v>232</v>
      </c>
      <c r="J61" s="25" t="s">
        <v>233</v>
      </c>
      <c r="K61" s="25" t="s">
        <v>234</v>
      </c>
      <c r="L61" s="25"/>
      <c r="M61" s="25"/>
      <c r="N61" s="22">
        <v>2</v>
      </c>
      <c r="O61" s="22">
        <v>3</v>
      </c>
      <c r="P61" s="22">
        <f t="shared" si="6"/>
        <v>6</v>
      </c>
      <c r="Q61" s="6" t="str">
        <f t="shared" si="1"/>
        <v>M</v>
      </c>
      <c r="R61" s="26">
        <v>10</v>
      </c>
      <c r="S61" s="26">
        <f t="shared" si="7"/>
        <v>60</v>
      </c>
      <c r="T61" s="27" t="str">
        <f t="shared" si="5"/>
        <v>III</v>
      </c>
      <c r="U61" s="28" t="str">
        <f t="shared" si="4"/>
        <v>MEJORABLE</v>
      </c>
      <c r="V61" s="41"/>
      <c r="W61" s="22" t="s">
        <v>235</v>
      </c>
      <c r="X61" s="26"/>
      <c r="Y61" s="26"/>
      <c r="Z61" s="26"/>
      <c r="AA61" s="25" t="s">
        <v>236</v>
      </c>
      <c r="AB61" s="26"/>
    </row>
    <row r="62" spans="1:28" ht="147" customHeight="1" x14ac:dyDescent="0.35">
      <c r="A62" s="31"/>
      <c r="B62" s="31"/>
      <c r="C62" s="32"/>
      <c r="D62" s="32"/>
      <c r="E62" s="30"/>
      <c r="F62" s="30"/>
      <c r="G62" s="34"/>
      <c r="H62" s="22" t="s">
        <v>35</v>
      </c>
      <c r="I62" s="22" t="s">
        <v>142</v>
      </c>
      <c r="J62" s="22" t="s">
        <v>143</v>
      </c>
      <c r="K62" s="22"/>
      <c r="L62" s="22"/>
      <c r="M62" s="22" t="s">
        <v>141</v>
      </c>
      <c r="N62" s="22">
        <v>2</v>
      </c>
      <c r="O62" s="22">
        <v>2</v>
      </c>
      <c r="P62" s="22">
        <f t="shared" si="6"/>
        <v>4</v>
      </c>
      <c r="Q62" s="6" t="str">
        <f t="shared" si="1"/>
        <v>B</v>
      </c>
      <c r="R62" s="26">
        <v>25</v>
      </c>
      <c r="S62" s="26">
        <f t="shared" si="7"/>
        <v>100</v>
      </c>
      <c r="T62" s="27" t="str">
        <f t="shared" si="5"/>
        <v>III</v>
      </c>
      <c r="U62" s="28" t="str">
        <f t="shared" si="4"/>
        <v>MEJORABLE</v>
      </c>
      <c r="V62" s="41"/>
      <c r="W62" s="22" t="s">
        <v>237</v>
      </c>
      <c r="X62" s="26"/>
      <c r="Y62" s="26"/>
      <c r="Z62" s="26"/>
      <c r="AA62" s="26" t="s">
        <v>238</v>
      </c>
      <c r="AB62" s="26"/>
    </row>
    <row r="63" spans="1:28" ht="192.75" customHeight="1" x14ac:dyDescent="0.35">
      <c r="A63" s="31" t="s">
        <v>333</v>
      </c>
      <c r="B63" s="31" t="s">
        <v>334</v>
      </c>
      <c r="C63" s="32" t="s">
        <v>186</v>
      </c>
      <c r="D63" s="32" t="s">
        <v>187</v>
      </c>
      <c r="E63" s="30" t="s">
        <v>188</v>
      </c>
      <c r="F63" s="30" t="s">
        <v>189</v>
      </c>
      <c r="G63" s="34" t="s">
        <v>34</v>
      </c>
      <c r="H63" s="30" t="s">
        <v>41</v>
      </c>
      <c r="I63" s="22" t="s">
        <v>163</v>
      </c>
      <c r="J63" s="22" t="s">
        <v>95</v>
      </c>
      <c r="K63" s="22"/>
      <c r="L63" s="22"/>
      <c r="M63" s="22" t="s">
        <v>96</v>
      </c>
      <c r="N63" s="22">
        <v>2</v>
      </c>
      <c r="O63" s="22">
        <v>2</v>
      </c>
      <c r="P63" s="22">
        <f t="shared" ref="P63:P77" si="8">N63*O63</f>
        <v>4</v>
      </c>
      <c r="Q63" s="6" t="str">
        <f t="shared" ref="Q63:Q77" si="9">IF(P63&gt;=24,"MA",IF(AND(P63&lt;=20,P63&gt;=10),"A",IF(AND(P63&lt;=8,P63&gt;=6),"M","B")))</f>
        <v>B</v>
      </c>
      <c r="R63" s="22">
        <v>25</v>
      </c>
      <c r="S63" s="22">
        <f t="shared" ref="S63:S77" si="10">P63*R63</f>
        <v>100</v>
      </c>
      <c r="T63" s="23" t="str">
        <f t="shared" ref="T63:T77" si="11">IF(S63&gt;=600,"I",IF(AND(S63&lt;=500,S63&gt;=150),"II",IF(AND(S63&lt;=120,S63&gt;=40),"III","IV")))</f>
        <v>III</v>
      </c>
      <c r="U63" s="6" t="str">
        <f t="shared" ref="U63:U77" si="12">IF(T63="I","NO ACEPTABLE",IF(T63="II","ACEPTABLE CON CONTROL ESPECIFICO",IF(T63="III","MEJORABLE","ACEPTABLE ")))</f>
        <v>MEJORABLE</v>
      </c>
      <c r="V63" s="41">
        <v>1</v>
      </c>
      <c r="W63" s="22" t="s">
        <v>97</v>
      </c>
      <c r="X63" s="22"/>
      <c r="Y63" s="22"/>
      <c r="Z63" s="22"/>
      <c r="AA63" s="22"/>
      <c r="AB63" s="22" t="s">
        <v>96</v>
      </c>
    </row>
    <row r="64" spans="1:28" ht="97.5" customHeight="1" x14ac:dyDescent="0.35">
      <c r="A64" s="31"/>
      <c r="B64" s="31"/>
      <c r="C64" s="32"/>
      <c r="D64" s="32"/>
      <c r="E64" s="30"/>
      <c r="F64" s="30"/>
      <c r="G64" s="34"/>
      <c r="H64" s="30"/>
      <c r="I64" s="22" t="s">
        <v>164</v>
      </c>
      <c r="J64" s="22" t="s">
        <v>165</v>
      </c>
      <c r="K64" s="22"/>
      <c r="L64" s="22"/>
      <c r="M64" s="22" t="s">
        <v>166</v>
      </c>
      <c r="N64" s="22">
        <v>2</v>
      </c>
      <c r="O64" s="22">
        <v>2</v>
      </c>
      <c r="P64" s="22">
        <f t="shared" si="8"/>
        <v>4</v>
      </c>
      <c r="Q64" s="6" t="str">
        <f t="shared" si="9"/>
        <v>B</v>
      </c>
      <c r="R64" s="22">
        <v>25</v>
      </c>
      <c r="S64" s="22">
        <f t="shared" si="10"/>
        <v>100</v>
      </c>
      <c r="T64" s="23" t="str">
        <f t="shared" si="11"/>
        <v>III</v>
      </c>
      <c r="U64" s="6" t="str">
        <f t="shared" si="12"/>
        <v>MEJORABLE</v>
      </c>
      <c r="V64" s="41"/>
      <c r="W64" s="22" t="s">
        <v>167</v>
      </c>
      <c r="X64" s="22"/>
      <c r="Y64" s="22"/>
      <c r="Z64" s="22"/>
      <c r="AA64" s="22" t="s">
        <v>168</v>
      </c>
      <c r="AB64" s="22" t="s">
        <v>166</v>
      </c>
    </row>
    <row r="65" spans="1:28" ht="93" customHeight="1" x14ac:dyDescent="0.35">
      <c r="A65" s="31"/>
      <c r="B65" s="31"/>
      <c r="C65" s="32"/>
      <c r="D65" s="32"/>
      <c r="E65" s="30"/>
      <c r="F65" s="30"/>
      <c r="G65" s="34"/>
      <c r="H65" s="30"/>
      <c r="I65" s="22" t="s">
        <v>169</v>
      </c>
      <c r="J65" s="22" t="s">
        <v>170</v>
      </c>
      <c r="K65" s="22"/>
      <c r="L65" s="22"/>
      <c r="M65" s="22" t="s">
        <v>98</v>
      </c>
      <c r="N65" s="22">
        <v>2</v>
      </c>
      <c r="O65" s="22">
        <v>2</v>
      </c>
      <c r="P65" s="22">
        <f t="shared" si="8"/>
        <v>4</v>
      </c>
      <c r="Q65" s="6" t="str">
        <f t="shared" si="9"/>
        <v>B</v>
      </c>
      <c r="R65" s="22">
        <v>25</v>
      </c>
      <c r="S65" s="22">
        <f t="shared" si="10"/>
        <v>100</v>
      </c>
      <c r="T65" s="23" t="str">
        <f t="shared" si="11"/>
        <v>III</v>
      </c>
      <c r="U65" s="6" t="str">
        <f t="shared" si="12"/>
        <v>MEJORABLE</v>
      </c>
      <c r="V65" s="41"/>
      <c r="W65" s="22" t="s">
        <v>42</v>
      </c>
      <c r="X65" s="22"/>
      <c r="Y65" s="22"/>
      <c r="Z65" s="22"/>
      <c r="AA65" s="22" t="s">
        <v>171</v>
      </c>
      <c r="AB65" s="22" t="s">
        <v>172</v>
      </c>
    </row>
    <row r="66" spans="1:28" ht="81.75" customHeight="1" x14ac:dyDescent="0.35">
      <c r="A66" s="31"/>
      <c r="B66" s="31"/>
      <c r="C66" s="32"/>
      <c r="D66" s="32"/>
      <c r="E66" s="30"/>
      <c r="F66" s="30"/>
      <c r="G66" s="34"/>
      <c r="H66" s="30"/>
      <c r="I66" s="22" t="s">
        <v>62</v>
      </c>
      <c r="J66" s="22" t="s">
        <v>63</v>
      </c>
      <c r="K66" s="22" t="s">
        <v>64</v>
      </c>
      <c r="L66" s="22"/>
      <c r="M66" s="22" t="s">
        <v>65</v>
      </c>
      <c r="N66" s="22">
        <v>2</v>
      </c>
      <c r="O66" s="22">
        <v>2</v>
      </c>
      <c r="P66" s="22">
        <f t="shared" si="8"/>
        <v>4</v>
      </c>
      <c r="Q66" s="6" t="str">
        <f t="shared" si="9"/>
        <v>B</v>
      </c>
      <c r="R66" s="22">
        <v>25</v>
      </c>
      <c r="S66" s="22">
        <f t="shared" si="10"/>
        <v>100</v>
      </c>
      <c r="T66" s="23" t="str">
        <f t="shared" si="11"/>
        <v>III</v>
      </c>
      <c r="U66" s="6" t="str">
        <f t="shared" si="12"/>
        <v>MEJORABLE</v>
      </c>
      <c r="V66" s="41"/>
      <c r="W66" s="22" t="s">
        <v>66</v>
      </c>
      <c r="X66" s="22"/>
      <c r="Y66" s="22"/>
      <c r="Z66" s="22"/>
      <c r="AA66" s="22" t="s">
        <v>78</v>
      </c>
      <c r="AB66" s="22"/>
    </row>
    <row r="67" spans="1:28" ht="71.25" customHeight="1" x14ac:dyDescent="0.35">
      <c r="A67" s="31"/>
      <c r="B67" s="31"/>
      <c r="C67" s="32"/>
      <c r="D67" s="32"/>
      <c r="E67" s="30"/>
      <c r="F67" s="30"/>
      <c r="G67" s="34"/>
      <c r="H67" s="30"/>
      <c r="I67" s="22" t="s">
        <v>99</v>
      </c>
      <c r="J67" s="22" t="s">
        <v>68</v>
      </c>
      <c r="K67" s="22"/>
      <c r="L67" s="22"/>
      <c r="M67" s="22" t="s">
        <v>83</v>
      </c>
      <c r="N67" s="22">
        <v>2</v>
      </c>
      <c r="O67" s="22">
        <v>2</v>
      </c>
      <c r="P67" s="22">
        <f t="shared" si="8"/>
        <v>4</v>
      </c>
      <c r="Q67" s="6" t="str">
        <f t="shared" si="9"/>
        <v>B</v>
      </c>
      <c r="R67" s="22">
        <v>10</v>
      </c>
      <c r="S67" s="22">
        <f t="shared" si="10"/>
        <v>40</v>
      </c>
      <c r="T67" s="23" t="str">
        <f t="shared" si="11"/>
        <v>III</v>
      </c>
      <c r="U67" s="6" t="str">
        <f t="shared" si="12"/>
        <v>MEJORABLE</v>
      </c>
      <c r="V67" s="41"/>
      <c r="W67" s="22" t="s">
        <v>69</v>
      </c>
      <c r="X67" s="22"/>
      <c r="Y67" s="22"/>
      <c r="Z67" s="22"/>
      <c r="AA67" s="22" t="s">
        <v>70</v>
      </c>
      <c r="AB67" s="22"/>
    </row>
    <row r="68" spans="1:28" ht="64.5" customHeight="1" x14ac:dyDescent="0.35">
      <c r="A68" s="31"/>
      <c r="B68" s="31"/>
      <c r="C68" s="32"/>
      <c r="D68" s="32"/>
      <c r="E68" s="30"/>
      <c r="F68" s="30"/>
      <c r="G68" s="34"/>
      <c r="H68" s="30"/>
      <c r="I68" s="22" t="s">
        <v>84</v>
      </c>
      <c r="J68" s="22" t="s">
        <v>85</v>
      </c>
      <c r="K68" s="22"/>
      <c r="L68" s="22"/>
      <c r="M68" s="22" t="s">
        <v>86</v>
      </c>
      <c r="N68" s="22">
        <v>2</v>
      </c>
      <c r="O68" s="22">
        <v>2</v>
      </c>
      <c r="P68" s="22">
        <f t="shared" si="8"/>
        <v>4</v>
      </c>
      <c r="Q68" s="6" t="str">
        <f t="shared" si="9"/>
        <v>B</v>
      </c>
      <c r="R68" s="22">
        <v>10</v>
      </c>
      <c r="S68" s="22">
        <f t="shared" si="10"/>
        <v>40</v>
      </c>
      <c r="T68" s="23" t="str">
        <f t="shared" si="11"/>
        <v>III</v>
      </c>
      <c r="U68" s="6" t="str">
        <f t="shared" si="12"/>
        <v>MEJORABLE</v>
      </c>
      <c r="V68" s="41"/>
      <c r="W68" s="22" t="s">
        <v>46</v>
      </c>
      <c r="X68" s="22"/>
      <c r="Y68" s="22"/>
      <c r="Z68" s="22"/>
      <c r="AA68" s="22" t="s">
        <v>87</v>
      </c>
      <c r="AB68" s="22" t="s">
        <v>88</v>
      </c>
    </row>
    <row r="69" spans="1:28" ht="64.5" customHeight="1" x14ac:dyDescent="0.35">
      <c r="A69" s="31"/>
      <c r="B69" s="31"/>
      <c r="C69" s="32"/>
      <c r="D69" s="32"/>
      <c r="E69" s="30"/>
      <c r="F69" s="30"/>
      <c r="G69" s="34"/>
      <c r="H69" s="30" t="s">
        <v>56</v>
      </c>
      <c r="I69" s="22" t="s">
        <v>144</v>
      </c>
      <c r="J69" s="22" t="s">
        <v>173</v>
      </c>
      <c r="K69" s="22"/>
      <c r="L69" s="22" t="s">
        <v>174</v>
      </c>
      <c r="M69" s="22" t="s">
        <v>175</v>
      </c>
      <c r="N69" s="22">
        <v>2</v>
      </c>
      <c r="O69" s="22">
        <v>2</v>
      </c>
      <c r="P69" s="22">
        <f t="shared" si="8"/>
        <v>4</v>
      </c>
      <c r="Q69" s="6" t="str">
        <f t="shared" si="9"/>
        <v>B</v>
      </c>
      <c r="R69" s="22">
        <v>25</v>
      </c>
      <c r="S69" s="22">
        <f t="shared" si="10"/>
        <v>100</v>
      </c>
      <c r="T69" s="23" t="str">
        <f t="shared" si="11"/>
        <v>III</v>
      </c>
      <c r="U69" s="6" t="str">
        <f t="shared" si="12"/>
        <v>MEJORABLE</v>
      </c>
      <c r="V69" s="41"/>
      <c r="W69" s="22" t="s">
        <v>60</v>
      </c>
      <c r="X69" s="22"/>
      <c r="Y69" s="22"/>
      <c r="Z69" s="22" t="s">
        <v>61</v>
      </c>
      <c r="AA69" s="22" t="s">
        <v>176</v>
      </c>
      <c r="AB69" s="22" t="s">
        <v>177</v>
      </c>
    </row>
    <row r="70" spans="1:28" ht="121.5" customHeight="1" x14ac:dyDescent="0.35">
      <c r="A70" s="31"/>
      <c r="B70" s="31"/>
      <c r="C70" s="32"/>
      <c r="D70" s="32"/>
      <c r="E70" s="30"/>
      <c r="F70" s="30"/>
      <c r="G70" s="34"/>
      <c r="H70" s="30"/>
      <c r="I70" s="22" t="s">
        <v>71</v>
      </c>
      <c r="J70" s="22" t="s">
        <v>57</v>
      </c>
      <c r="K70" s="22"/>
      <c r="L70" s="22"/>
      <c r="M70" s="22" t="s">
        <v>72</v>
      </c>
      <c r="N70" s="22">
        <v>2</v>
      </c>
      <c r="O70" s="22">
        <v>2</v>
      </c>
      <c r="P70" s="22">
        <f t="shared" si="8"/>
        <v>4</v>
      </c>
      <c r="Q70" s="6" t="str">
        <f t="shared" si="9"/>
        <v>B</v>
      </c>
      <c r="R70" s="22">
        <v>10</v>
      </c>
      <c r="S70" s="22">
        <f t="shared" si="10"/>
        <v>40</v>
      </c>
      <c r="T70" s="23" t="str">
        <f t="shared" si="11"/>
        <v>III</v>
      </c>
      <c r="U70" s="6" t="str">
        <f t="shared" si="12"/>
        <v>MEJORABLE</v>
      </c>
      <c r="V70" s="41"/>
      <c r="W70" s="22" t="s">
        <v>58</v>
      </c>
      <c r="X70" s="22"/>
      <c r="Y70" s="22"/>
      <c r="Z70" s="22"/>
      <c r="AA70" s="22" t="s">
        <v>44</v>
      </c>
      <c r="AB70" s="22" t="s">
        <v>59</v>
      </c>
    </row>
    <row r="71" spans="1:28" ht="102" customHeight="1" x14ac:dyDescent="0.35">
      <c r="A71" s="31"/>
      <c r="B71" s="31"/>
      <c r="C71" s="32"/>
      <c r="D71" s="32"/>
      <c r="E71" s="30"/>
      <c r="F71" s="30"/>
      <c r="G71" s="34"/>
      <c r="H71" s="30" t="s">
        <v>48</v>
      </c>
      <c r="I71" s="22" t="s">
        <v>100</v>
      </c>
      <c r="J71" s="22" t="s">
        <v>101</v>
      </c>
      <c r="K71" s="22"/>
      <c r="L71" s="22"/>
      <c r="M71" s="22" t="s">
        <v>37</v>
      </c>
      <c r="N71" s="22">
        <v>2</v>
      </c>
      <c r="O71" s="22">
        <v>2</v>
      </c>
      <c r="P71" s="22">
        <f t="shared" si="8"/>
        <v>4</v>
      </c>
      <c r="Q71" s="6" t="str">
        <f t="shared" si="9"/>
        <v>B</v>
      </c>
      <c r="R71" s="22">
        <v>25</v>
      </c>
      <c r="S71" s="22">
        <f t="shared" si="10"/>
        <v>100</v>
      </c>
      <c r="T71" s="23" t="str">
        <f t="shared" si="11"/>
        <v>III</v>
      </c>
      <c r="U71" s="6" t="str">
        <f t="shared" si="12"/>
        <v>MEJORABLE</v>
      </c>
      <c r="V71" s="41"/>
      <c r="W71" s="22" t="s">
        <v>102</v>
      </c>
      <c r="X71" s="22"/>
      <c r="Y71" s="22"/>
      <c r="Z71" s="22"/>
      <c r="AA71" s="22" t="s">
        <v>103</v>
      </c>
      <c r="AB71" s="22"/>
    </row>
    <row r="72" spans="1:28" ht="92.25" customHeight="1" x14ac:dyDescent="0.35">
      <c r="A72" s="31"/>
      <c r="B72" s="31"/>
      <c r="C72" s="32"/>
      <c r="D72" s="32"/>
      <c r="E72" s="30"/>
      <c r="F72" s="30"/>
      <c r="G72" s="34"/>
      <c r="H72" s="30"/>
      <c r="I72" s="22" t="s">
        <v>104</v>
      </c>
      <c r="J72" s="22" t="s">
        <v>105</v>
      </c>
      <c r="K72" s="22"/>
      <c r="L72" s="22"/>
      <c r="M72" s="22" t="s">
        <v>40</v>
      </c>
      <c r="N72" s="22">
        <v>2</v>
      </c>
      <c r="O72" s="22">
        <v>2</v>
      </c>
      <c r="P72" s="22">
        <f t="shared" si="8"/>
        <v>4</v>
      </c>
      <c r="Q72" s="6" t="str">
        <f t="shared" si="9"/>
        <v>B</v>
      </c>
      <c r="R72" s="22">
        <v>10</v>
      </c>
      <c r="S72" s="22">
        <f t="shared" si="10"/>
        <v>40</v>
      </c>
      <c r="T72" s="23" t="str">
        <f t="shared" si="11"/>
        <v>III</v>
      </c>
      <c r="U72" s="6" t="str">
        <f t="shared" si="12"/>
        <v>MEJORABLE</v>
      </c>
      <c r="V72" s="41"/>
      <c r="W72" s="22" t="s">
        <v>106</v>
      </c>
      <c r="X72" s="22"/>
      <c r="Y72" s="22"/>
      <c r="Z72" s="22"/>
      <c r="AA72" s="22" t="s">
        <v>107</v>
      </c>
      <c r="AB72" s="22"/>
    </row>
    <row r="73" spans="1:28" ht="149.25" customHeight="1" x14ac:dyDescent="0.35">
      <c r="A73" s="31"/>
      <c r="B73" s="31"/>
      <c r="C73" s="32"/>
      <c r="D73" s="32"/>
      <c r="E73" s="30"/>
      <c r="F73" s="30"/>
      <c r="G73" s="34"/>
      <c r="H73" s="22" t="s">
        <v>35</v>
      </c>
      <c r="I73" s="22" t="s">
        <v>43</v>
      </c>
      <c r="J73" s="22" t="s">
        <v>36</v>
      </c>
      <c r="K73" s="22"/>
      <c r="L73" s="22"/>
      <c r="M73" s="22" t="s">
        <v>37</v>
      </c>
      <c r="N73" s="22">
        <v>2</v>
      </c>
      <c r="O73" s="22">
        <v>3</v>
      </c>
      <c r="P73" s="22">
        <f t="shared" si="8"/>
        <v>6</v>
      </c>
      <c r="Q73" s="6" t="str">
        <f t="shared" si="9"/>
        <v>M</v>
      </c>
      <c r="R73" s="22">
        <v>10</v>
      </c>
      <c r="S73" s="22">
        <f t="shared" si="10"/>
        <v>60</v>
      </c>
      <c r="T73" s="23" t="str">
        <f t="shared" si="11"/>
        <v>III</v>
      </c>
      <c r="U73" s="6" t="str">
        <f t="shared" si="12"/>
        <v>MEJORABLE</v>
      </c>
      <c r="V73" s="41"/>
      <c r="W73" s="22" t="s">
        <v>38</v>
      </c>
      <c r="X73" s="22"/>
      <c r="Y73" s="22"/>
      <c r="Z73" s="22"/>
      <c r="AA73" s="22" t="s">
        <v>131</v>
      </c>
      <c r="AB73" s="22"/>
    </row>
    <row r="74" spans="1:28" ht="85.5" customHeight="1" x14ac:dyDescent="0.35">
      <c r="A74" s="31"/>
      <c r="B74" s="31"/>
      <c r="C74" s="32"/>
      <c r="D74" s="32"/>
      <c r="E74" s="30"/>
      <c r="F74" s="30"/>
      <c r="G74" s="34"/>
      <c r="H74" s="22" t="s">
        <v>108</v>
      </c>
      <c r="I74" s="22" t="s">
        <v>109</v>
      </c>
      <c r="J74" s="22" t="s">
        <v>110</v>
      </c>
      <c r="K74" s="22"/>
      <c r="L74" s="22"/>
      <c r="M74" s="22" t="s">
        <v>111</v>
      </c>
      <c r="N74" s="22">
        <v>2</v>
      </c>
      <c r="O74" s="22">
        <v>2</v>
      </c>
      <c r="P74" s="22">
        <f t="shared" si="8"/>
        <v>4</v>
      </c>
      <c r="Q74" s="6" t="str">
        <f t="shared" si="9"/>
        <v>B</v>
      </c>
      <c r="R74" s="22">
        <v>25</v>
      </c>
      <c r="S74" s="22">
        <f t="shared" si="10"/>
        <v>100</v>
      </c>
      <c r="T74" s="23" t="str">
        <f t="shared" si="11"/>
        <v>III</v>
      </c>
      <c r="U74" s="6" t="str">
        <f t="shared" si="12"/>
        <v>MEJORABLE</v>
      </c>
      <c r="V74" s="41"/>
      <c r="W74" s="22" t="s">
        <v>77</v>
      </c>
      <c r="X74" s="22"/>
      <c r="Y74" s="22"/>
      <c r="Z74" s="22"/>
      <c r="AA74" s="22" t="s">
        <v>112</v>
      </c>
      <c r="AB74" s="22" t="s">
        <v>113</v>
      </c>
    </row>
    <row r="75" spans="1:28" ht="80.25" customHeight="1" x14ac:dyDescent="0.35">
      <c r="A75" s="31"/>
      <c r="B75" s="31"/>
      <c r="C75" s="32"/>
      <c r="D75" s="32"/>
      <c r="E75" s="30"/>
      <c r="F75" s="30"/>
      <c r="G75" s="34"/>
      <c r="H75" s="30" t="s">
        <v>89</v>
      </c>
      <c r="I75" s="22" t="s">
        <v>45</v>
      </c>
      <c r="J75" s="22" t="s">
        <v>90</v>
      </c>
      <c r="K75" s="22"/>
      <c r="L75" s="22"/>
      <c r="M75" s="22" t="s">
        <v>114</v>
      </c>
      <c r="N75" s="22">
        <v>2</v>
      </c>
      <c r="O75" s="22">
        <v>2</v>
      </c>
      <c r="P75" s="22">
        <f t="shared" si="8"/>
        <v>4</v>
      </c>
      <c r="Q75" s="6" t="str">
        <f t="shared" si="9"/>
        <v>B</v>
      </c>
      <c r="R75" s="22">
        <v>10</v>
      </c>
      <c r="S75" s="22">
        <f t="shared" si="10"/>
        <v>40</v>
      </c>
      <c r="T75" s="23" t="str">
        <f t="shared" si="11"/>
        <v>III</v>
      </c>
      <c r="U75" s="6" t="str">
        <f t="shared" si="12"/>
        <v>MEJORABLE</v>
      </c>
      <c r="V75" s="41"/>
      <c r="W75" s="22" t="s">
        <v>92</v>
      </c>
      <c r="X75" s="22"/>
      <c r="Y75" s="22"/>
      <c r="Z75" s="22"/>
      <c r="AA75" s="22" t="s">
        <v>93</v>
      </c>
      <c r="AB75" s="22" t="s">
        <v>94</v>
      </c>
    </row>
    <row r="76" spans="1:28" ht="111.75" customHeight="1" x14ac:dyDescent="0.35">
      <c r="A76" s="31"/>
      <c r="B76" s="31"/>
      <c r="C76" s="32"/>
      <c r="D76" s="32"/>
      <c r="E76" s="30"/>
      <c r="F76" s="30"/>
      <c r="G76" s="34"/>
      <c r="H76" s="30"/>
      <c r="I76" s="22" t="s">
        <v>178</v>
      </c>
      <c r="J76" s="22" t="s">
        <v>179</v>
      </c>
      <c r="K76" s="22"/>
      <c r="L76" s="22"/>
      <c r="M76" s="22" t="s">
        <v>180</v>
      </c>
      <c r="N76" s="22">
        <v>2</v>
      </c>
      <c r="O76" s="22">
        <v>1</v>
      </c>
      <c r="P76" s="22">
        <f t="shared" si="8"/>
        <v>2</v>
      </c>
      <c r="Q76" s="6" t="str">
        <f t="shared" si="9"/>
        <v>B</v>
      </c>
      <c r="R76" s="22">
        <v>10</v>
      </c>
      <c r="S76" s="22">
        <f t="shared" si="10"/>
        <v>20</v>
      </c>
      <c r="T76" s="23" t="str">
        <f t="shared" si="11"/>
        <v>IV</v>
      </c>
      <c r="U76" s="6" t="str">
        <f t="shared" si="12"/>
        <v xml:space="preserve">ACEPTABLE </v>
      </c>
      <c r="V76" s="41"/>
      <c r="W76" s="22" t="s">
        <v>181</v>
      </c>
      <c r="X76" s="22"/>
      <c r="Y76" s="22"/>
      <c r="Z76" s="22"/>
      <c r="AA76" s="22" t="s">
        <v>182</v>
      </c>
      <c r="AB76" s="22" t="s">
        <v>183</v>
      </c>
    </row>
    <row r="77" spans="1:28" ht="80.25" customHeight="1" x14ac:dyDescent="0.35">
      <c r="A77" s="31"/>
      <c r="B77" s="31"/>
      <c r="C77" s="32"/>
      <c r="D77" s="32"/>
      <c r="E77" s="30"/>
      <c r="F77" s="30"/>
      <c r="G77" s="34"/>
      <c r="H77" s="30"/>
      <c r="I77" s="22" t="s">
        <v>115</v>
      </c>
      <c r="J77" s="22" t="s">
        <v>116</v>
      </c>
      <c r="K77" s="22"/>
      <c r="L77" s="22"/>
      <c r="M77" s="22" t="s">
        <v>98</v>
      </c>
      <c r="N77" s="22">
        <v>2</v>
      </c>
      <c r="O77" s="22">
        <v>1</v>
      </c>
      <c r="P77" s="22">
        <f t="shared" si="8"/>
        <v>2</v>
      </c>
      <c r="Q77" s="6" t="str">
        <f t="shared" si="9"/>
        <v>B</v>
      </c>
      <c r="R77" s="22">
        <v>25</v>
      </c>
      <c r="S77" s="22">
        <f t="shared" si="10"/>
        <v>50</v>
      </c>
      <c r="T77" s="23" t="str">
        <f t="shared" si="11"/>
        <v>III</v>
      </c>
      <c r="U77" s="6" t="str">
        <f t="shared" si="12"/>
        <v>MEJORABLE</v>
      </c>
      <c r="V77" s="41"/>
      <c r="W77" s="22" t="s">
        <v>42</v>
      </c>
      <c r="X77" s="22"/>
      <c r="Y77" s="22"/>
      <c r="Z77" s="22"/>
      <c r="AA77" s="22" t="s">
        <v>117</v>
      </c>
      <c r="AB77" s="22" t="s">
        <v>98</v>
      </c>
    </row>
    <row r="78" spans="1:28" ht="75.75" customHeight="1" x14ac:dyDescent="0.35">
      <c r="A78" s="31" t="s">
        <v>191</v>
      </c>
      <c r="B78" s="32" t="s">
        <v>47</v>
      </c>
      <c r="C78" s="32" t="s">
        <v>192</v>
      </c>
      <c r="D78" s="32" t="s">
        <v>193</v>
      </c>
      <c r="E78" s="30" t="s">
        <v>194</v>
      </c>
      <c r="F78" s="30" t="s">
        <v>195</v>
      </c>
      <c r="G78" s="34" t="s">
        <v>335</v>
      </c>
      <c r="H78" s="30" t="s">
        <v>48</v>
      </c>
      <c r="I78" s="22" t="s">
        <v>196</v>
      </c>
      <c r="J78" s="22" t="s">
        <v>197</v>
      </c>
      <c r="K78" s="22"/>
      <c r="L78" s="22"/>
      <c r="M78" s="22" t="s">
        <v>198</v>
      </c>
      <c r="N78" s="22">
        <v>2</v>
      </c>
      <c r="O78" s="22">
        <v>3</v>
      </c>
      <c r="P78" s="22">
        <f t="shared" ref="P78:P83" si="13">N78*O78</f>
        <v>6</v>
      </c>
      <c r="Q78" s="6" t="str">
        <f t="shared" ref="Q78:Q83" si="14">IF(P78&gt;=24,"MA",IF(AND(P78&lt;=20,P78&gt;=10),"A",IF(AND(P78&lt;=8,P78&gt;=6),"M","B")))</f>
        <v>M</v>
      </c>
      <c r="R78" s="22">
        <v>25</v>
      </c>
      <c r="S78" s="22">
        <f t="shared" ref="S78:S83" si="15">P78*R78</f>
        <v>150</v>
      </c>
      <c r="T78" s="23" t="str">
        <f t="shared" ref="T78:T83" si="16">IF(S78&gt;=600,"I",IF(AND(S78&lt;=500,S78&gt;=150),"II",IF(AND(S78&lt;=120,S78&gt;=40),"III","IV")))</f>
        <v>II</v>
      </c>
      <c r="U78" s="6" t="str">
        <f t="shared" ref="U78:U83" si="17">IF(T78="I","NO ACEPTABLE",IF(T78="II","ACEPTABLE CON CONTROL ESPECIFICO",IF(T78="III","MEJORABLE","ACEPTABLE ")))</f>
        <v>ACEPTABLE CON CONTROL ESPECIFICO</v>
      </c>
      <c r="V78" s="30">
        <v>8</v>
      </c>
      <c r="W78" s="22" t="s">
        <v>199</v>
      </c>
      <c r="X78" s="22"/>
      <c r="Y78" s="22"/>
      <c r="Z78" s="22"/>
      <c r="AA78" s="22" t="s">
        <v>200</v>
      </c>
      <c r="AB78" s="22" t="s">
        <v>201</v>
      </c>
    </row>
    <row r="79" spans="1:28" ht="167.25" customHeight="1" x14ac:dyDescent="0.35">
      <c r="A79" s="31"/>
      <c r="B79" s="32"/>
      <c r="C79" s="32"/>
      <c r="D79" s="32"/>
      <c r="E79" s="30"/>
      <c r="F79" s="30"/>
      <c r="G79" s="34"/>
      <c r="H79" s="30"/>
      <c r="I79" s="22" t="s">
        <v>202</v>
      </c>
      <c r="J79" s="22" t="s">
        <v>203</v>
      </c>
      <c r="K79" s="22"/>
      <c r="L79" s="22"/>
      <c r="M79" s="22" t="s">
        <v>204</v>
      </c>
      <c r="N79" s="22">
        <v>2</v>
      </c>
      <c r="O79" s="22">
        <v>3</v>
      </c>
      <c r="P79" s="22">
        <f t="shared" si="13"/>
        <v>6</v>
      </c>
      <c r="Q79" s="6" t="str">
        <f t="shared" si="14"/>
        <v>M</v>
      </c>
      <c r="R79" s="22">
        <v>25</v>
      </c>
      <c r="S79" s="22">
        <f t="shared" si="15"/>
        <v>150</v>
      </c>
      <c r="T79" s="23" t="str">
        <f t="shared" si="16"/>
        <v>II</v>
      </c>
      <c r="U79" s="6" t="str">
        <f t="shared" si="17"/>
        <v>ACEPTABLE CON CONTROL ESPECIFICO</v>
      </c>
      <c r="V79" s="30"/>
      <c r="W79" s="22" t="s">
        <v>205</v>
      </c>
      <c r="X79" s="22"/>
      <c r="Y79" s="22"/>
      <c r="Z79" s="22"/>
      <c r="AA79" s="22" t="s">
        <v>206</v>
      </c>
      <c r="AB79" s="22"/>
    </row>
    <row r="80" spans="1:28" ht="167.25" customHeight="1" x14ac:dyDescent="0.35">
      <c r="A80" s="31"/>
      <c r="B80" s="32"/>
      <c r="C80" s="32"/>
      <c r="D80" s="32"/>
      <c r="E80" s="30"/>
      <c r="F80" s="30"/>
      <c r="G80" s="34"/>
      <c r="H80" s="22" t="s">
        <v>41</v>
      </c>
      <c r="I80" s="22" t="s">
        <v>207</v>
      </c>
      <c r="J80" s="22" t="s">
        <v>208</v>
      </c>
      <c r="K80" s="22"/>
      <c r="L80" s="22" t="s">
        <v>209</v>
      </c>
      <c r="M80" s="22" t="s">
        <v>210</v>
      </c>
      <c r="N80" s="22">
        <v>2</v>
      </c>
      <c r="O80" s="22">
        <v>3</v>
      </c>
      <c r="P80" s="22">
        <f t="shared" si="13"/>
        <v>6</v>
      </c>
      <c r="Q80" s="6" t="str">
        <f t="shared" si="14"/>
        <v>M</v>
      </c>
      <c r="R80" s="22">
        <v>10</v>
      </c>
      <c r="S80" s="22">
        <f t="shared" si="15"/>
        <v>60</v>
      </c>
      <c r="T80" s="23" t="str">
        <f t="shared" si="16"/>
        <v>III</v>
      </c>
      <c r="U80" s="6" t="str">
        <f t="shared" si="17"/>
        <v>MEJORABLE</v>
      </c>
      <c r="V80" s="30"/>
      <c r="W80" s="22" t="s">
        <v>46</v>
      </c>
      <c r="X80" s="22"/>
      <c r="Y80" s="22"/>
      <c r="Z80" s="22"/>
      <c r="AA80" s="22" t="s">
        <v>211</v>
      </c>
      <c r="AB80" s="22"/>
    </row>
    <row r="81" spans="1:64" ht="205.5" customHeight="1" x14ac:dyDescent="0.35">
      <c r="A81" s="31"/>
      <c r="B81" s="32"/>
      <c r="C81" s="32"/>
      <c r="D81" s="32"/>
      <c r="E81" s="30"/>
      <c r="F81" s="30"/>
      <c r="G81" s="34"/>
      <c r="H81" s="30" t="s">
        <v>56</v>
      </c>
      <c r="I81" s="22" t="s">
        <v>144</v>
      </c>
      <c r="J81" s="22" t="s">
        <v>190</v>
      </c>
      <c r="K81" s="22"/>
      <c r="L81" s="22" t="s">
        <v>139</v>
      </c>
      <c r="M81" s="22" t="s">
        <v>212</v>
      </c>
      <c r="N81" s="22">
        <v>2</v>
      </c>
      <c r="O81" s="22">
        <v>3</v>
      </c>
      <c r="P81" s="22">
        <f t="shared" si="13"/>
        <v>6</v>
      </c>
      <c r="Q81" s="6" t="str">
        <f t="shared" si="14"/>
        <v>M</v>
      </c>
      <c r="R81" s="22">
        <v>10</v>
      </c>
      <c r="S81" s="22">
        <f t="shared" si="15"/>
        <v>60</v>
      </c>
      <c r="T81" s="23" t="str">
        <f t="shared" si="16"/>
        <v>III</v>
      </c>
      <c r="U81" s="6" t="str">
        <f t="shared" si="17"/>
        <v>MEJORABLE</v>
      </c>
      <c r="V81" s="30"/>
      <c r="W81" s="22" t="s">
        <v>60</v>
      </c>
      <c r="X81" s="22"/>
      <c r="Y81" s="22"/>
      <c r="Z81" s="22" t="s">
        <v>61</v>
      </c>
      <c r="AA81" s="22" t="s">
        <v>130</v>
      </c>
      <c r="AB81" s="22"/>
    </row>
    <row r="82" spans="1:64" ht="205.5" customHeight="1" x14ac:dyDescent="0.35">
      <c r="A82" s="31"/>
      <c r="B82" s="32"/>
      <c r="C82" s="32"/>
      <c r="D82" s="32"/>
      <c r="E82" s="30"/>
      <c r="F82" s="30"/>
      <c r="G82" s="34"/>
      <c r="H82" s="30"/>
      <c r="I82" s="13" t="s">
        <v>71</v>
      </c>
      <c r="J82" s="13" t="s">
        <v>57</v>
      </c>
      <c r="K82" s="13"/>
      <c r="L82" s="13"/>
      <c r="M82" s="13" t="s">
        <v>72</v>
      </c>
      <c r="N82" s="13">
        <v>2</v>
      </c>
      <c r="O82" s="13">
        <v>2</v>
      </c>
      <c r="P82" s="13">
        <f t="shared" si="13"/>
        <v>4</v>
      </c>
      <c r="Q82" s="6" t="str">
        <f t="shared" si="14"/>
        <v>B</v>
      </c>
      <c r="R82" s="22"/>
      <c r="S82" s="22">
        <f t="shared" si="15"/>
        <v>0</v>
      </c>
      <c r="T82" s="23" t="str">
        <f t="shared" si="16"/>
        <v>IV</v>
      </c>
      <c r="U82" s="6" t="str">
        <f t="shared" si="17"/>
        <v xml:space="preserve">ACEPTABLE </v>
      </c>
      <c r="V82" s="30"/>
      <c r="W82" s="22"/>
      <c r="X82" s="22"/>
      <c r="Y82" s="22"/>
      <c r="Z82" s="22"/>
      <c r="AA82" s="22"/>
      <c r="AB82" s="22"/>
    </row>
    <row r="83" spans="1:64" ht="138.75" customHeight="1" x14ac:dyDescent="0.35">
      <c r="A83" s="31"/>
      <c r="B83" s="32"/>
      <c r="C83" s="32"/>
      <c r="D83" s="32"/>
      <c r="E83" s="30"/>
      <c r="F83" s="30"/>
      <c r="G83" s="34"/>
      <c r="H83" s="30"/>
      <c r="I83" s="22" t="s">
        <v>213</v>
      </c>
      <c r="J83" s="22" t="s">
        <v>214</v>
      </c>
      <c r="K83" s="22"/>
      <c r="L83" s="22"/>
      <c r="M83" s="22" t="s">
        <v>215</v>
      </c>
      <c r="N83" s="22">
        <v>2</v>
      </c>
      <c r="O83" s="22">
        <v>2</v>
      </c>
      <c r="P83" s="22">
        <f t="shared" si="13"/>
        <v>4</v>
      </c>
      <c r="Q83" s="6" t="str">
        <f t="shared" si="14"/>
        <v>B</v>
      </c>
      <c r="R83" s="22">
        <v>25</v>
      </c>
      <c r="S83" s="22">
        <f t="shared" si="15"/>
        <v>100</v>
      </c>
      <c r="T83" s="23" t="str">
        <f t="shared" si="16"/>
        <v>III</v>
      </c>
      <c r="U83" s="6" t="str">
        <f t="shared" si="17"/>
        <v>MEJORABLE</v>
      </c>
      <c r="V83" s="30"/>
      <c r="W83" s="22" t="s">
        <v>216</v>
      </c>
      <c r="X83" s="22"/>
      <c r="Y83" s="22"/>
      <c r="Z83" s="22"/>
      <c r="AA83" s="22" t="s">
        <v>44</v>
      </c>
      <c r="AB83" s="22" t="s">
        <v>217</v>
      </c>
    </row>
    <row r="84" spans="1:64" ht="95.25" customHeight="1" x14ac:dyDescent="0.35">
      <c r="A84" s="31"/>
      <c r="B84" s="32"/>
      <c r="C84" s="31" t="s">
        <v>123</v>
      </c>
      <c r="D84" s="31" t="s">
        <v>124</v>
      </c>
      <c r="E84" s="34" t="s">
        <v>125</v>
      </c>
      <c r="F84" s="34" t="s">
        <v>126</v>
      </c>
      <c r="G84" s="34"/>
      <c r="H84" s="34" t="s">
        <v>41</v>
      </c>
      <c r="I84" s="13" t="s">
        <v>127</v>
      </c>
      <c r="J84" s="13" t="s">
        <v>95</v>
      </c>
      <c r="K84" s="13"/>
      <c r="L84" s="13"/>
      <c r="M84" s="13" t="s">
        <v>96</v>
      </c>
      <c r="N84" s="13">
        <v>2</v>
      </c>
      <c r="O84" s="13">
        <v>2</v>
      </c>
      <c r="P84" s="13">
        <f t="shared" ref="P84:P107" si="18">N84*O84</f>
        <v>4</v>
      </c>
      <c r="Q84" s="6" t="str">
        <f t="shared" ref="Q84:Q107" si="19">IF(P84&gt;=24,"MA",IF(AND(P84&lt;=20,P84&gt;=10),"A",IF(AND(P84&lt;=8,P84&gt;=6),"M","B")))</f>
        <v>B</v>
      </c>
      <c r="R84" s="13">
        <v>25</v>
      </c>
      <c r="S84" s="13">
        <f t="shared" ref="S84:S107" si="20">P84*R84</f>
        <v>100</v>
      </c>
      <c r="T84" s="7" t="str">
        <f t="shared" ref="T84:T107" si="21">IF(S84&gt;=600,"I",IF(AND(S84&lt;=500,S84&gt;=150),"II",IF(AND(S84&lt;=120,S84&gt;=40),"III","IV")))</f>
        <v>III</v>
      </c>
      <c r="U84" s="6" t="str">
        <f t="shared" ref="U84:U107" si="22">IF(T84="I","NO ACEPTABLE",IF(T84="II","ACEPTABLE CON CONTROL ESPECIFICO",IF(T84="III","MEJORABLE","ACEPTABLE ")))</f>
        <v>MEJORABLE</v>
      </c>
      <c r="V84" s="34">
        <v>1</v>
      </c>
      <c r="W84" s="13" t="s">
        <v>97</v>
      </c>
      <c r="X84" s="13"/>
      <c r="Y84" s="13"/>
      <c r="Z84" s="13"/>
      <c r="AA84" s="13"/>
      <c r="AB84" s="13" t="s">
        <v>96</v>
      </c>
    </row>
    <row r="85" spans="1:64" ht="93" customHeight="1" x14ac:dyDescent="0.35">
      <c r="A85" s="31"/>
      <c r="B85" s="32"/>
      <c r="C85" s="31"/>
      <c r="D85" s="31"/>
      <c r="E85" s="34"/>
      <c r="F85" s="34"/>
      <c r="G85" s="34"/>
      <c r="H85" s="34"/>
      <c r="I85" s="13" t="s">
        <v>62</v>
      </c>
      <c r="J85" s="13" t="s">
        <v>63</v>
      </c>
      <c r="K85" s="13" t="s">
        <v>64</v>
      </c>
      <c r="L85" s="13"/>
      <c r="M85" s="13" t="s">
        <v>65</v>
      </c>
      <c r="N85" s="13">
        <v>2</v>
      </c>
      <c r="O85" s="13">
        <v>2</v>
      </c>
      <c r="P85" s="13">
        <f t="shared" si="18"/>
        <v>4</v>
      </c>
      <c r="Q85" s="6" t="str">
        <f t="shared" si="19"/>
        <v>B</v>
      </c>
      <c r="R85" s="13">
        <v>25</v>
      </c>
      <c r="S85" s="13">
        <f t="shared" si="20"/>
        <v>100</v>
      </c>
      <c r="T85" s="7" t="str">
        <f t="shared" si="21"/>
        <v>III</v>
      </c>
      <c r="U85" s="6" t="str">
        <f t="shared" si="22"/>
        <v>MEJORABLE</v>
      </c>
      <c r="V85" s="34"/>
      <c r="W85" s="13" t="s">
        <v>66</v>
      </c>
      <c r="X85" s="13"/>
      <c r="Y85" s="13"/>
      <c r="Z85" s="13"/>
      <c r="AA85" s="13" t="s">
        <v>78</v>
      </c>
      <c r="AB85" s="13"/>
    </row>
    <row r="86" spans="1:64" ht="75.75" customHeight="1" x14ac:dyDescent="0.35">
      <c r="A86" s="31"/>
      <c r="B86" s="32"/>
      <c r="C86" s="31"/>
      <c r="D86" s="31"/>
      <c r="E86" s="34"/>
      <c r="F86" s="34"/>
      <c r="G86" s="34"/>
      <c r="H86" s="34"/>
      <c r="I86" s="13" t="s">
        <v>99</v>
      </c>
      <c r="J86" s="13" t="s">
        <v>68</v>
      </c>
      <c r="K86" s="13"/>
      <c r="L86" s="13"/>
      <c r="M86" s="13" t="s">
        <v>83</v>
      </c>
      <c r="N86" s="13">
        <v>2</v>
      </c>
      <c r="O86" s="13">
        <v>2</v>
      </c>
      <c r="P86" s="13">
        <f t="shared" si="18"/>
        <v>4</v>
      </c>
      <c r="Q86" s="6" t="str">
        <f t="shared" si="19"/>
        <v>B</v>
      </c>
      <c r="R86" s="13">
        <v>10</v>
      </c>
      <c r="S86" s="13">
        <f t="shared" si="20"/>
        <v>40</v>
      </c>
      <c r="T86" s="7" t="str">
        <f t="shared" si="21"/>
        <v>III</v>
      </c>
      <c r="U86" s="6" t="str">
        <f t="shared" si="22"/>
        <v>MEJORABLE</v>
      </c>
      <c r="V86" s="34"/>
      <c r="W86" s="13" t="s">
        <v>69</v>
      </c>
      <c r="X86" s="13"/>
      <c r="Y86" s="13"/>
      <c r="Z86" s="13"/>
      <c r="AA86" s="13" t="s">
        <v>70</v>
      </c>
      <c r="AB86" s="13"/>
    </row>
    <row r="87" spans="1:64" ht="120.75" customHeight="1" x14ac:dyDescent="0.35">
      <c r="A87" s="31"/>
      <c r="B87" s="32"/>
      <c r="C87" s="31"/>
      <c r="D87" s="31"/>
      <c r="E87" s="34"/>
      <c r="F87" s="34"/>
      <c r="G87" s="34"/>
      <c r="H87" s="34"/>
      <c r="I87" s="13" t="s">
        <v>84</v>
      </c>
      <c r="J87" s="13" t="s">
        <v>85</v>
      </c>
      <c r="K87" s="13"/>
      <c r="L87" s="13"/>
      <c r="M87" s="13" t="s">
        <v>86</v>
      </c>
      <c r="N87" s="13">
        <v>2</v>
      </c>
      <c r="O87" s="13">
        <v>2</v>
      </c>
      <c r="P87" s="13">
        <f t="shared" si="18"/>
        <v>4</v>
      </c>
      <c r="Q87" s="6" t="str">
        <f t="shared" si="19"/>
        <v>B</v>
      </c>
      <c r="R87" s="13">
        <v>10</v>
      </c>
      <c r="S87" s="13">
        <f t="shared" si="20"/>
        <v>40</v>
      </c>
      <c r="T87" s="7" t="str">
        <f t="shared" si="21"/>
        <v>III</v>
      </c>
      <c r="U87" s="6" t="str">
        <f t="shared" si="22"/>
        <v>MEJORABLE</v>
      </c>
      <c r="V87" s="34"/>
      <c r="W87" s="13" t="s">
        <v>46</v>
      </c>
      <c r="X87" s="13"/>
      <c r="Y87" s="13"/>
      <c r="Z87" s="13"/>
      <c r="AA87" s="13" t="s">
        <v>87</v>
      </c>
      <c r="AB87" s="13" t="s">
        <v>88</v>
      </c>
    </row>
    <row r="88" spans="1:64" ht="120.75" customHeight="1" x14ac:dyDescent="0.35">
      <c r="A88" s="31"/>
      <c r="B88" s="32"/>
      <c r="C88" s="31"/>
      <c r="D88" s="31"/>
      <c r="E88" s="34"/>
      <c r="F88" s="34"/>
      <c r="G88" s="34"/>
      <c r="H88" s="34" t="s">
        <v>56</v>
      </c>
      <c r="I88" s="13" t="s">
        <v>144</v>
      </c>
      <c r="J88" s="13" t="s">
        <v>140</v>
      </c>
      <c r="K88" s="13"/>
      <c r="L88" s="13" t="s">
        <v>139</v>
      </c>
      <c r="M88" s="13" t="s">
        <v>135</v>
      </c>
      <c r="N88" s="13">
        <v>2</v>
      </c>
      <c r="O88" s="13">
        <v>3</v>
      </c>
      <c r="P88" s="13">
        <f t="shared" si="18"/>
        <v>6</v>
      </c>
      <c r="Q88" s="6" t="str">
        <f t="shared" si="19"/>
        <v>M</v>
      </c>
      <c r="R88" s="13">
        <v>10</v>
      </c>
      <c r="S88" s="13">
        <f t="shared" si="20"/>
        <v>60</v>
      </c>
      <c r="T88" s="7" t="str">
        <f t="shared" si="21"/>
        <v>III</v>
      </c>
      <c r="U88" s="6" t="str">
        <f t="shared" si="22"/>
        <v>MEJORABLE</v>
      </c>
      <c r="V88" s="34"/>
      <c r="W88" s="13" t="s">
        <v>60</v>
      </c>
      <c r="X88" s="13"/>
      <c r="Y88" s="13"/>
      <c r="Z88" s="13" t="s">
        <v>61</v>
      </c>
      <c r="AA88" s="13" t="s">
        <v>130</v>
      </c>
      <c r="AB88" s="13" t="s">
        <v>129</v>
      </c>
    </row>
    <row r="89" spans="1:64" ht="120.75" customHeight="1" x14ac:dyDescent="0.35">
      <c r="A89" s="31"/>
      <c r="B89" s="32"/>
      <c r="C89" s="31"/>
      <c r="D89" s="31"/>
      <c r="E89" s="34"/>
      <c r="F89" s="34"/>
      <c r="G89" s="34"/>
      <c r="H89" s="34"/>
      <c r="I89" s="13" t="s">
        <v>71</v>
      </c>
      <c r="J89" s="13" t="s">
        <v>57</v>
      </c>
      <c r="K89" s="13"/>
      <c r="L89" s="13"/>
      <c r="M89" s="13" t="s">
        <v>72</v>
      </c>
      <c r="N89" s="13">
        <v>2</v>
      </c>
      <c r="O89" s="13">
        <v>2</v>
      </c>
      <c r="P89" s="13">
        <f t="shared" si="18"/>
        <v>4</v>
      </c>
      <c r="Q89" s="6" t="str">
        <f t="shared" si="19"/>
        <v>B</v>
      </c>
      <c r="R89" s="13">
        <v>10</v>
      </c>
      <c r="S89" s="13">
        <f t="shared" si="20"/>
        <v>40</v>
      </c>
      <c r="T89" s="7" t="str">
        <f t="shared" si="21"/>
        <v>III</v>
      </c>
      <c r="U89" s="6" t="str">
        <f t="shared" si="22"/>
        <v>MEJORABLE</v>
      </c>
      <c r="V89" s="34"/>
      <c r="W89" s="13" t="s">
        <v>58</v>
      </c>
      <c r="X89" s="13"/>
      <c r="Y89" s="13"/>
      <c r="Z89" s="13"/>
      <c r="AA89" s="13" t="s">
        <v>44</v>
      </c>
      <c r="AB89" s="13" t="s">
        <v>59</v>
      </c>
    </row>
    <row r="90" spans="1:64" ht="82.5" customHeight="1" x14ac:dyDescent="0.35">
      <c r="A90" s="31"/>
      <c r="B90" s="32"/>
      <c r="C90" s="31"/>
      <c r="D90" s="31"/>
      <c r="E90" s="34"/>
      <c r="F90" s="34"/>
      <c r="G90" s="34"/>
      <c r="H90" s="34" t="s">
        <v>48</v>
      </c>
      <c r="I90" s="13" t="s">
        <v>100</v>
      </c>
      <c r="J90" s="13" t="s">
        <v>101</v>
      </c>
      <c r="K90" s="13"/>
      <c r="L90" s="13"/>
      <c r="M90" s="13" t="s">
        <v>37</v>
      </c>
      <c r="N90" s="13">
        <v>2</v>
      </c>
      <c r="O90" s="13">
        <v>2</v>
      </c>
      <c r="P90" s="13">
        <f t="shared" si="18"/>
        <v>4</v>
      </c>
      <c r="Q90" s="6" t="str">
        <f t="shared" si="19"/>
        <v>B</v>
      </c>
      <c r="R90" s="13">
        <v>25</v>
      </c>
      <c r="S90" s="13">
        <f t="shared" si="20"/>
        <v>100</v>
      </c>
      <c r="T90" s="7" t="str">
        <f t="shared" si="21"/>
        <v>III</v>
      </c>
      <c r="U90" s="6" t="str">
        <f t="shared" si="22"/>
        <v>MEJORABLE</v>
      </c>
      <c r="V90" s="34"/>
      <c r="W90" s="13" t="s">
        <v>102</v>
      </c>
      <c r="X90" s="13"/>
      <c r="Y90" s="13"/>
      <c r="Z90" s="13"/>
      <c r="AA90" s="13" t="s">
        <v>103</v>
      </c>
      <c r="AB90" s="13"/>
    </row>
    <row r="91" spans="1:64" ht="59.45" customHeight="1" x14ac:dyDescent="0.35">
      <c r="A91" s="31"/>
      <c r="B91" s="32"/>
      <c r="C91" s="31"/>
      <c r="D91" s="31"/>
      <c r="E91" s="34"/>
      <c r="F91" s="34"/>
      <c r="G91" s="34"/>
      <c r="H91" s="34"/>
      <c r="I91" s="13" t="s">
        <v>104</v>
      </c>
      <c r="J91" s="13" t="s">
        <v>105</v>
      </c>
      <c r="K91" s="13"/>
      <c r="L91" s="13"/>
      <c r="M91" s="13" t="s">
        <v>40</v>
      </c>
      <c r="N91" s="13">
        <v>2</v>
      </c>
      <c r="O91" s="13">
        <v>2</v>
      </c>
      <c r="P91" s="13">
        <f t="shared" si="18"/>
        <v>4</v>
      </c>
      <c r="Q91" s="6" t="str">
        <f t="shared" si="19"/>
        <v>B</v>
      </c>
      <c r="R91" s="13">
        <v>10</v>
      </c>
      <c r="S91" s="13">
        <f t="shared" si="20"/>
        <v>40</v>
      </c>
      <c r="T91" s="7" t="str">
        <f t="shared" si="21"/>
        <v>III</v>
      </c>
      <c r="U91" s="6" t="str">
        <f t="shared" si="22"/>
        <v>MEJORABLE</v>
      </c>
      <c r="V91" s="34"/>
      <c r="W91" s="13" t="s">
        <v>106</v>
      </c>
      <c r="X91" s="13"/>
      <c r="Y91" s="13"/>
      <c r="Z91" s="13"/>
      <c r="AA91" s="13" t="s">
        <v>107</v>
      </c>
      <c r="AB91" s="13"/>
    </row>
    <row r="92" spans="1:64" s="12" customFormat="1" ht="180.75" customHeight="1" x14ac:dyDescent="0.35">
      <c r="A92" s="31"/>
      <c r="B92" s="32"/>
      <c r="C92" s="31"/>
      <c r="D92" s="31"/>
      <c r="E92" s="34"/>
      <c r="F92" s="34"/>
      <c r="G92" s="34"/>
      <c r="H92" s="10" t="s">
        <v>145</v>
      </c>
      <c r="I92" s="10" t="s">
        <v>146</v>
      </c>
      <c r="J92" s="10" t="s">
        <v>147</v>
      </c>
      <c r="K92" s="10"/>
      <c r="L92" s="10"/>
      <c r="M92" s="10" t="s">
        <v>148</v>
      </c>
      <c r="N92" s="10">
        <v>10</v>
      </c>
      <c r="O92" s="10">
        <v>1</v>
      </c>
      <c r="P92" s="10">
        <v>4</v>
      </c>
      <c r="Q92" s="6" t="str">
        <f t="shared" si="19"/>
        <v>B</v>
      </c>
      <c r="R92" s="10">
        <v>100</v>
      </c>
      <c r="S92" s="10">
        <f t="shared" si="20"/>
        <v>400</v>
      </c>
      <c r="T92" s="6" t="str">
        <f t="shared" si="21"/>
        <v>II</v>
      </c>
      <c r="U92" s="6" t="str">
        <f t="shared" si="22"/>
        <v>ACEPTABLE CON CONTROL ESPECIFICO</v>
      </c>
      <c r="V92" s="34"/>
      <c r="W92" s="10" t="s">
        <v>149</v>
      </c>
      <c r="X92" s="10" t="s">
        <v>157</v>
      </c>
      <c r="Y92" s="10" t="s">
        <v>158</v>
      </c>
      <c r="Z92" s="10" t="s">
        <v>159</v>
      </c>
      <c r="AA92" s="10" t="s">
        <v>160</v>
      </c>
      <c r="AB92" s="10" t="s">
        <v>161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spans="1:64" ht="129.75" customHeight="1" x14ac:dyDescent="0.35">
      <c r="A93" s="31"/>
      <c r="B93" s="32"/>
      <c r="C93" s="31"/>
      <c r="D93" s="31"/>
      <c r="E93" s="34"/>
      <c r="F93" s="34"/>
      <c r="G93" s="34"/>
      <c r="H93" s="13" t="s">
        <v>35</v>
      </c>
      <c r="I93" s="13" t="s">
        <v>43</v>
      </c>
      <c r="J93" s="13" t="s">
        <v>36</v>
      </c>
      <c r="K93" s="13"/>
      <c r="L93" s="13"/>
      <c r="M93" s="13" t="s">
        <v>37</v>
      </c>
      <c r="N93" s="13">
        <v>2</v>
      </c>
      <c r="O93" s="13">
        <v>3</v>
      </c>
      <c r="P93" s="13">
        <f t="shared" si="18"/>
        <v>6</v>
      </c>
      <c r="Q93" s="6" t="str">
        <f t="shared" si="19"/>
        <v>M</v>
      </c>
      <c r="R93" s="13">
        <v>10</v>
      </c>
      <c r="S93" s="13">
        <f t="shared" si="20"/>
        <v>60</v>
      </c>
      <c r="T93" s="7" t="str">
        <f t="shared" si="21"/>
        <v>III</v>
      </c>
      <c r="U93" s="6" t="str">
        <f t="shared" si="22"/>
        <v>MEJORABLE</v>
      </c>
      <c r="V93" s="34"/>
      <c r="W93" s="13" t="s">
        <v>38</v>
      </c>
      <c r="X93" s="13"/>
      <c r="Y93" s="13"/>
      <c r="Z93" s="13"/>
      <c r="AA93" s="13" t="s">
        <v>131</v>
      </c>
      <c r="AB93" s="13"/>
    </row>
    <row r="94" spans="1:64" ht="94.5" customHeight="1" x14ac:dyDescent="0.35">
      <c r="A94" s="31"/>
      <c r="B94" s="32"/>
      <c r="C94" s="31"/>
      <c r="D94" s="31"/>
      <c r="E94" s="34"/>
      <c r="F94" s="34"/>
      <c r="G94" s="34"/>
      <c r="H94" s="13" t="s">
        <v>108</v>
      </c>
      <c r="I94" s="13" t="s">
        <v>109</v>
      </c>
      <c r="J94" s="13" t="s">
        <v>110</v>
      </c>
      <c r="K94" s="13"/>
      <c r="L94" s="13"/>
      <c r="M94" s="13" t="s">
        <v>111</v>
      </c>
      <c r="N94" s="13">
        <v>2</v>
      </c>
      <c r="O94" s="13">
        <v>2</v>
      </c>
      <c r="P94" s="13">
        <f t="shared" si="18"/>
        <v>4</v>
      </c>
      <c r="Q94" s="6" t="str">
        <f t="shared" si="19"/>
        <v>B</v>
      </c>
      <c r="R94" s="13">
        <v>25</v>
      </c>
      <c r="S94" s="13">
        <f t="shared" si="20"/>
        <v>100</v>
      </c>
      <c r="T94" s="7" t="str">
        <f t="shared" si="21"/>
        <v>III</v>
      </c>
      <c r="U94" s="6" t="str">
        <f t="shared" si="22"/>
        <v>MEJORABLE</v>
      </c>
      <c r="V94" s="34"/>
      <c r="W94" s="13" t="s">
        <v>77</v>
      </c>
      <c r="X94" s="13"/>
      <c r="Y94" s="13"/>
      <c r="Z94" s="13"/>
      <c r="AA94" s="13" t="s">
        <v>112</v>
      </c>
      <c r="AB94" s="13" t="s">
        <v>113</v>
      </c>
    </row>
    <row r="95" spans="1:64" ht="75.75" customHeight="1" x14ac:dyDescent="0.35">
      <c r="A95" s="31"/>
      <c r="B95" s="32"/>
      <c r="C95" s="31"/>
      <c r="D95" s="31"/>
      <c r="E95" s="34"/>
      <c r="F95" s="34"/>
      <c r="G95" s="34"/>
      <c r="H95" s="14" t="s">
        <v>89</v>
      </c>
      <c r="I95" s="13" t="s">
        <v>45</v>
      </c>
      <c r="J95" s="13" t="s">
        <v>90</v>
      </c>
      <c r="K95" s="13"/>
      <c r="L95" s="13"/>
      <c r="M95" s="13" t="s">
        <v>114</v>
      </c>
      <c r="N95" s="13">
        <v>2</v>
      </c>
      <c r="O95" s="13">
        <v>2</v>
      </c>
      <c r="P95" s="13">
        <f t="shared" si="18"/>
        <v>4</v>
      </c>
      <c r="Q95" s="6" t="str">
        <f t="shared" si="19"/>
        <v>B</v>
      </c>
      <c r="R95" s="13">
        <v>10</v>
      </c>
      <c r="S95" s="13">
        <f t="shared" si="20"/>
        <v>40</v>
      </c>
      <c r="T95" s="7" t="str">
        <f t="shared" si="21"/>
        <v>III</v>
      </c>
      <c r="U95" s="6" t="str">
        <f t="shared" si="22"/>
        <v>MEJORABLE</v>
      </c>
      <c r="V95" s="34"/>
      <c r="W95" s="13" t="s">
        <v>92</v>
      </c>
      <c r="X95" s="13"/>
      <c r="Y95" s="13"/>
      <c r="Z95" s="13"/>
      <c r="AA95" s="13" t="s">
        <v>93</v>
      </c>
      <c r="AB95" s="13" t="s">
        <v>94</v>
      </c>
    </row>
    <row r="96" spans="1:64" ht="75.75" customHeight="1" x14ac:dyDescent="0.35">
      <c r="A96" s="31"/>
      <c r="B96" s="32"/>
      <c r="C96" s="31"/>
      <c r="D96" s="31"/>
      <c r="E96" s="34"/>
      <c r="F96" s="34"/>
      <c r="G96" s="34"/>
      <c r="H96" s="13" t="s">
        <v>41</v>
      </c>
      <c r="I96" s="13" t="s">
        <v>115</v>
      </c>
      <c r="J96" s="13" t="s">
        <v>116</v>
      </c>
      <c r="K96" s="13"/>
      <c r="L96" s="13"/>
      <c r="M96" s="13" t="s">
        <v>98</v>
      </c>
      <c r="N96" s="13">
        <v>2</v>
      </c>
      <c r="O96" s="13">
        <v>1</v>
      </c>
      <c r="P96" s="13">
        <f t="shared" si="18"/>
        <v>2</v>
      </c>
      <c r="Q96" s="6" t="str">
        <f t="shared" si="19"/>
        <v>B</v>
      </c>
      <c r="R96" s="13">
        <v>25</v>
      </c>
      <c r="S96" s="13">
        <f t="shared" si="20"/>
        <v>50</v>
      </c>
      <c r="T96" s="7" t="str">
        <f t="shared" si="21"/>
        <v>III</v>
      </c>
      <c r="U96" s="6" t="str">
        <f t="shared" si="22"/>
        <v>MEJORABLE</v>
      </c>
      <c r="V96" s="34"/>
      <c r="W96" s="13" t="s">
        <v>42</v>
      </c>
      <c r="X96" s="13"/>
      <c r="Y96" s="13"/>
      <c r="Z96" s="13"/>
      <c r="AA96" s="13" t="s">
        <v>117</v>
      </c>
      <c r="AB96" s="13" t="s">
        <v>98</v>
      </c>
    </row>
    <row r="97" spans="1:28" ht="162" customHeight="1" x14ac:dyDescent="0.35">
      <c r="A97" s="31" t="s">
        <v>328</v>
      </c>
      <c r="B97" s="31" t="s">
        <v>329</v>
      </c>
      <c r="C97" s="32" t="s">
        <v>330</v>
      </c>
      <c r="D97" s="32" t="s">
        <v>281</v>
      </c>
      <c r="E97" s="30" t="s">
        <v>194</v>
      </c>
      <c r="F97" s="30" t="s">
        <v>282</v>
      </c>
      <c r="G97" s="34" t="s">
        <v>34</v>
      </c>
      <c r="H97" s="30" t="s">
        <v>48</v>
      </c>
      <c r="I97" s="22" t="s">
        <v>202</v>
      </c>
      <c r="J97" s="22" t="s">
        <v>283</v>
      </c>
      <c r="K97" s="22"/>
      <c r="L97" s="22"/>
      <c r="M97" s="22" t="s">
        <v>284</v>
      </c>
      <c r="N97" s="22">
        <v>2</v>
      </c>
      <c r="O97" s="22">
        <v>3</v>
      </c>
      <c r="P97" s="22">
        <f t="shared" si="18"/>
        <v>6</v>
      </c>
      <c r="Q97" s="6" t="str">
        <f t="shared" si="19"/>
        <v>M</v>
      </c>
      <c r="R97" s="22">
        <v>10</v>
      </c>
      <c r="S97" s="22">
        <f t="shared" si="20"/>
        <v>60</v>
      </c>
      <c r="T97" s="23" t="str">
        <f t="shared" si="21"/>
        <v>III</v>
      </c>
      <c r="U97" s="6" t="str">
        <f t="shared" si="22"/>
        <v>MEJORABLE</v>
      </c>
      <c r="V97" s="30">
        <v>16</v>
      </c>
      <c r="W97" s="22" t="s">
        <v>285</v>
      </c>
      <c r="X97" s="22"/>
      <c r="Y97" s="22"/>
      <c r="Z97" s="22"/>
      <c r="AA97" s="22" t="s">
        <v>286</v>
      </c>
      <c r="AB97" s="22"/>
    </row>
    <row r="98" spans="1:28" ht="162" customHeight="1" x14ac:dyDescent="0.35">
      <c r="A98" s="31"/>
      <c r="B98" s="31"/>
      <c r="C98" s="32"/>
      <c r="D98" s="32"/>
      <c r="E98" s="30"/>
      <c r="F98" s="30"/>
      <c r="G98" s="34"/>
      <c r="H98" s="30"/>
      <c r="I98" s="22" t="s">
        <v>287</v>
      </c>
      <c r="J98" s="22" t="s">
        <v>288</v>
      </c>
      <c r="K98" s="22"/>
      <c r="L98" s="22" t="s">
        <v>39</v>
      </c>
      <c r="M98" s="22" t="s">
        <v>289</v>
      </c>
      <c r="N98" s="22">
        <v>2</v>
      </c>
      <c r="O98" s="22">
        <v>2</v>
      </c>
      <c r="P98" s="22">
        <f t="shared" si="18"/>
        <v>4</v>
      </c>
      <c r="Q98" s="6" t="str">
        <f t="shared" si="19"/>
        <v>B</v>
      </c>
      <c r="R98" s="22">
        <v>25</v>
      </c>
      <c r="S98" s="22">
        <f t="shared" si="20"/>
        <v>100</v>
      </c>
      <c r="T98" s="23" t="str">
        <f t="shared" si="21"/>
        <v>III</v>
      </c>
      <c r="U98" s="6" t="str">
        <f t="shared" si="22"/>
        <v>MEJORABLE</v>
      </c>
      <c r="V98" s="30"/>
      <c r="W98" s="22" t="s">
        <v>290</v>
      </c>
      <c r="X98" s="22"/>
      <c r="Y98" s="22"/>
      <c r="Z98" s="22" t="s">
        <v>291</v>
      </c>
      <c r="AA98" s="22" t="s">
        <v>292</v>
      </c>
      <c r="AB98" s="22"/>
    </row>
    <row r="99" spans="1:28" ht="144.75" customHeight="1" x14ac:dyDescent="0.35">
      <c r="A99" s="31"/>
      <c r="B99" s="31"/>
      <c r="C99" s="32"/>
      <c r="D99" s="32"/>
      <c r="E99" s="30"/>
      <c r="F99" s="30"/>
      <c r="G99" s="34"/>
      <c r="H99" s="22" t="s">
        <v>41</v>
      </c>
      <c r="I99" s="22" t="s">
        <v>293</v>
      </c>
      <c r="J99" s="22" t="s">
        <v>294</v>
      </c>
      <c r="K99" s="22"/>
      <c r="L99" s="22" t="s">
        <v>295</v>
      </c>
      <c r="M99" s="22" t="s">
        <v>296</v>
      </c>
      <c r="N99" s="22">
        <v>2</v>
      </c>
      <c r="O99" s="22">
        <v>2</v>
      </c>
      <c r="P99" s="22">
        <f t="shared" si="18"/>
        <v>4</v>
      </c>
      <c r="Q99" s="6" t="str">
        <f t="shared" si="19"/>
        <v>B</v>
      </c>
      <c r="R99" s="22">
        <v>25</v>
      </c>
      <c r="S99" s="22">
        <f t="shared" si="20"/>
        <v>100</v>
      </c>
      <c r="T99" s="23" t="str">
        <f t="shared" si="21"/>
        <v>III</v>
      </c>
      <c r="U99" s="6" t="str">
        <f t="shared" si="22"/>
        <v>MEJORABLE</v>
      </c>
      <c r="V99" s="30"/>
      <c r="W99" s="22" t="s">
        <v>297</v>
      </c>
      <c r="X99" s="22"/>
      <c r="Y99" s="22"/>
      <c r="Z99" s="22" t="s">
        <v>298</v>
      </c>
      <c r="AA99" s="22" t="s">
        <v>299</v>
      </c>
      <c r="AB99" s="22"/>
    </row>
    <row r="100" spans="1:28" ht="136.5" customHeight="1" x14ac:dyDescent="0.35">
      <c r="A100" s="31"/>
      <c r="B100" s="31"/>
      <c r="C100" s="32"/>
      <c r="D100" s="32"/>
      <c r="E100" s="30"/>
      <c r="F100" s="30"/>
      <c r="G100" s="34"/>
      <c r="H100" s="22" t="s">
        <v>56</v>
      </c>
      <c r="I100" s="22" t="s">
        <v>300</v>
      </c>
      <c r="J100" s="22" t="s">
        <v>301</v>
      </c>
      <c r="K100" s="22"/>
      <c r="L100" s="22" t="s">
        <v>302</v>
      </c>
      <c r="M100" s="22" t="s">
        <v>132</v>
      </c>
      <c r="N100" s="22">
        <v>2</v>
      </c>
      <c r="O100" s="22">
        <v>1</v>
      </c>
      <c r="P100" s="22">
        <f t="shared" si="18"/>
        <v>2</v>
      </c>
      <c r="Q100" s="6" t="str">
        <f t="shared" si="19"/>
        <v>B</v>
      </c>
      <c r="R100" s="22">
        <v>10</v>
      </c>
      <c r="S100" s="22">
        <f t="shared" si="20"/>
        <v>20</v>
      </c>
      <c r="T100" s="23" t="str">
        <f t="shared" si="21"/>
        <v>IV</v>
      </c>
      <c r="U100" s="6" t="str">
        <f t="shared" si="22"/>
        <v xml:space="preserve">ACEPTABLE </v>
      </c>
      <c r="V100" s="30"/>
      <c r="W100" s="22" t="s">
        <v>303</v>
      </c>
      <c r="X100" s="22"/>
      <c r="Y100" s="22"/>
      <c r="Z100" s="22"/>
      <c r="AA100" s="22" t="s">
        <v>304</v>
      </c>
      <c r="AB100" s="22"/>
    </row>
    <row r="101" spans="1:28" ht="182.25" customHeight="1" x14ac:dyDescent="0.35">
      <c r="A101" s="31"/>
      <c r="B101" s="31"/>
      <c r="C101" s="32"/>
      <c r="D101" s="32"/>
      <c r="E101" s="30"/>
      <c r="F101" s="30"/>
      <c r="G101" s="34"/>
      <c r="H101" s="22" t="s">
        <v>89</v>
      </c>
      <c r="I101" s="22" t="s">
        <v>305</v>
      </c>
      <c r="J101" s="22" t="s">
        <v>306</v>
      </c>
      <c r="K101" s="22"/>
      <c r="L101" s="22"/>
      <c r="M101" s="22" t="s">
        <v>307</v>
      </c>
      <c r="N101" s="22">
        <v>2</v>
      </c>
      <c r="O101" s="22">
        <v>1</v>
      </c>
      <c r="P101" s="22">
        <f t="shared" si="18"/>
        <v>2</v>
      </c>
      <c r="Q101" s="6" t="str">
        <f t="shared" si="19"/>
        <v>B</v>
      </c>
      <c r="R101" s="22">
        <v>10</v>
      </c>
      <c r="S101" s="22">
        <f t="shared" si="20"/>
        <v>20</v>
      </c>
      <c r="T101" s="23" t="str">
        <f t="shared" si="21"/>
        <v>IV</v>
      </c>
      <c r="U101" s="6" t="str">
        <f t="shared" si="22"/>
        <v xml:space="preserve">ACEPTABLE </v>
      </c>
      <c r="V101" s="30"/>
      <c r="W101" s="22" t="s">
        <v>308</v>
      </c>
      <c r="X101" s="22"/>
      <c r="Y101" s="22"/>
      <c r="Z101" s="22"/>
      <c r="AA101" s="22" t="s">
        <v>309</v>
      </c>
      <c r="AB101" s="22" t="s">
        <v>310</v>
      </c>
    </row>
    <row r="102" spans="1:28" ht="63.75" customHeight="1" x14ac:dyDescent="0.35">
      <c r="A102" s="31"/>
      <c r="B102" s="31"/>
      <c r="C102" s="32"/>
      <c r="D102" s="32"/>
      <c r="E102" s="30"/>
      <c r="F102" s="30"/>
      <c r="G102" s="34"/>
      <c r="H102" s="22" t="s">
        <v>89</v>
      </c>
      <c r="I102" s="22" t="s">
        <v>311</v>
      </c>
      <c r="J102" s="22" t="s">
        <v>312</v>
      </c>
      <c r="K102" s="22"/>
      <c r="L102" s="22"/>
      <c r="M102" s="22" t="s">
        <v>313</v>
      </c>
      <c r="N102" s="22">
        <v>2</v>
      </c>
      <c r="O102" s="22">
        <v>2</v>
      </c>
      <c r="P102" s="22">
        <f t="shared" si="18"/>
        <v>4</v>
      </c>
      <c r="Q102" s="6" t="str">
        <f t="shared" si="19"/>
        <v>B</v>
      </c>
      <c r="R102" s="22">
        <v>10</v>
      </c>
      <c r="S102" s="22">
        <f t="shared" si="20"/>
        <v>40</v>
      </c>
      <c r="T102" s="23" t="str">
        <f t="shared" si="21"/>
        <v>III</v>
      </c>
      <c r="U102" s="6" t="str">
        <f t="shared" si="22"/>
        <v>MEJORABLE</v>
      </c>
      <c r="V102" s="30"/>
      <c r="W102" s="22" t="s">
        <v>314</v>
      </c>
      <c r="X102" s="22"/>
      <c r="Y102" s="22"/>
      <c r="Z102" s="22"/>
      <c r="AA102" s="22" t="s">
        <v>315</v>
      </c>
      <c r="AB102" s="22"/>
    </row>
    <row r="103" spans="1:28" ht="72.75" customHeight="1" x14ac:dyDescent="0.35">
      <c r="A103" s="31"/>
      <c r="B103" s="31"/>
      <c r="C103" s="32"/>
      <c r="D103" s="32"/>
      <c r="E103" s="30"/>
      <c r="F103" s="30"/>
      <c r="G103" s="34"/>
      <c r="H103" s="30" t="s">
        <v>41</v>
      </c>
      <c r="I103" s="22" t="s">
        <v>316</v>
      </c>
      <c r="J103" s="22" t="s">
        <v>317</v>
      </c>
      <c r="K103" s="22"/>
      <c r="L103" s="22" t="s">
        <v>318</v>
      </c>
      <c r="M103" s="22"/>
      <c r="N103" s="22">
        <v>2</v>
      </c>
      <c r="O103" s="22">
        <v>1</v>
      </c>
      <c r="P103" s="22">
        <f t="shared" si="18"/>
        <v>2</v>
      </c>
      <c r="Q103" s="6" t="str">
        <f t="shared" si="19"/>
        <v>B</v>
      </c>
      <c r="R103" s="22">
        <v>25</v>
      </c>
      <c r="S103" s="22">
        <f t="shared" si="20"/>
        <v>50</v>
      </c>
      <c r="T103" s="23" t="str">
        <f t="shared" si="21"/>
        <v>III</v>
      </c>
      <c r="U103" s="6" t="str">
        <f t="shared" si="22"/>
        <v>MEJORABLE</v>
      </c>
      <c r="V103" s="30"/>
      <c r="W103" s="22" t="s">
        <v>319</v>
      </c>
      <c r="X103" s="22"/>
      <c r="Y103" s="22"/>
      <c r="Z103" s="22"/>
      <c r="AA103" s="22" t="s">
        <v>320</v>
      </c>
      <c r="AB103" s="22"/>
    </row>
    <row r="104" spans="1:28" ht="151.5" customHeight="1" x14ac:dyDescent="0.35">
      <c r="A104" s="31"/>
      <c r="B104" s="31"/>
      <c r="C104" s="32"/>
      <c r="D104" s="32"/>
      <c r="E104" s="30"/>
      <c r="F104" s="30"/>
      <c r="G104" s="34"/>
      <c r="H104" s="30"/>
      <c r="I104" s="22" t="s">
        <v>321</v>
      </c>
      <c r="J104" s="22" t="s">
        <v>322</v>
      </c>
      <c r="K104" s="22"/>
      <c r="L104" s="22" t="s">
        <v>295</v>
      </c>
      <c r="M104" s="22" t="s">
        <v>296</v>
      </c>
      <c r="N104" s="22">
        <v>2</v>
      </c>
      <c r="O104" s="22">
        <v>2</v>
      </c>
      <c r="P104" s="22">
        <f t="shared" si="18"/>
        <v>4</v>
      </c>
      <c r="Q104" s="6" t="str">
        <f t="shared" si="19"/>
        <v>B</v>
      </c>
      <c r="R104" s="22">
        <v>25</v>
      </c>
      <c r="S104" s="22">
        <f t="shared" si="20"/>
        <v>100</v>
      </c>
      <c r="T104" s="23" t="str">
        <f t="shared" si="21"/>
        <v>III</v>
      </c>
      <c r="U104" s="6" t="str">
        <f t="shared" si="22"/>
        <v>MEJORABLE</v>
      </c>
      <c r="V104" s="30"/>
      <c r="W104" s="22" t="s">
        <v>297</v>
      </c>
      <c r="X104" s="22"/>
      <c r="Y104" s="22"/>
      <c r="Z104" s="22" t="s">
        <v>298</v>
      </c>
      <c r="AA104" s="22" t="s">
        <v>299</v>
      </c>
      <c r="AB104" s="22"/>
    </row>
    <row r="105" spans="1:28" ht="96" customHeight="1" x14ac:dyDescent="0.35">
      <c r="A105" s="31"/>
      <c r="B105" s="31"/>
      <c r="C105" s="32"/>
      <c r="D105" s="32"/>
      <c r="E105" s="30"/>
      <c r="F105" s="30"/>
      <c r="G105" s="34"/>
      <c r="H105" s="22" t="s">
        <v>252</v>
      </c>
      <c r="I105" s="22" t="s">
        <v>323</v>
      </c>
      <c r="J105" s="22" t="s">
        <v>324</v>
      </c>
      <c r="K105" s="22"/>
      <c r="L105" s="22"/>
      <c r="M105" s="22" t="s">
        <v>40</v>
      </c>
      <c r="N105" s="22">
        <v>2</v>
      </c>
      <c r="O105" s="22">
        <v>2</v>
      </c>
      <c r="P105" s="22">
        <f t="shared" si="18"/>
        <v>4</v>
      </c>
      <c r="Q105" s="6" t="str">
        <f t="shared" si="19"/>
        <v>B</v>
      </c>
      <c r="R105" s="22">
        <v>10</v>
      </c>
      <c r="S105" s="22">
        <f t="shared" si="20"/>
        <v>40</v>
      </c>
      <c r="T105" s="23" t="str">
        <f t="shared" si="21"/>
        <v>III</v>
      </c>
      <c r="U105" s="6" t="str">
        <f t="shared" si="22"/>
        <v>MEJORABLE</v>
      </c>
      <c r="V105" s="30"/>
      <c r="W105" s="22" t="s">
        <v>325</v>
      </c>
      <c r="X105" s="22"/>
      <c r="Y105" s="22"/>
      <c r="Z105" s="22"/>
      <c r="AA105" s="22" t="s">
        <v>326</v>
      </c>
      <c r="AB105" s="22"/>
    </row>
    <row r="106" spans="1:28" ht="262.5" customHeight="1" x14ac:dyDescent="0.35">
      <c r="A106" s="31"/>
      <c r="B106" s="31"/>
      <c r="C106" s="32"/>
      <c r="D106" s="32"/>
      <c r="E106" s="30"/>
      <c r="F106" s="30"/>
      <c r="G106" s="34"/>
      <c r="H106" s="30" t="s">
        <v>35</v>
      </c>
      <c r="I106" s="22" t="s">
        <v>327</v>
      </c>
      <c r="J106" s="22" t="s">
        <v>36</v>
      </c>
      <c r="K106" s="22"/>
      <c r="L106" s="22"/>
      <c r="M106" s="22" t="s">
        <v>37</v>
      </c>
      <c r="N106" s="22">
        <v>2</v>
      </c>
      <c r="O106" s="22">
        <v>3</v>
      </c>
      <c r="P106" s="22">
        <f t="shared" si="18"/>
        <v>6</v>
      </c>
      <c r="Q106" s="6" t="str">
        <f t="shared" si="19"/>
        <v>M</v>
      </c>
      <c r="R106" s="22">
        <v>10</v>
      </c>
      <c r="S106" s="22">
        <f t="shared" si="20"/>
        <v>60</v>
      </c>
      <c r="T106" s="23" t="str">
        <f t="shared" si="21"/>
        <v>III</v>
      </c>
      <c r="U106" s="6" t="str">
        <f t="shared" si="22"/>
        <v>MEJORABLE</v>
      </c>
      <c r="V106" s="30"/>
      <c r="W106" s="22" t="s">
        <v>38</v>
      </c>
      <c r="X106" s="22"/>
      <c r="Y106" s="22"/>
      <c r="Z106" s="22"/>
      <c r="AA106" s="22" t="s">
        <v>131</v>
      </c>
      <c r="AB106" s="22"/>
    </row>
    <row r="107" spans="1:28" ht="252" customHeight="1" x14ac:dyDescent="0.35">
      <c r="A107" s="31"/>
      <c r="B107" s="31"/>
      <c r="C107" s="32"/>
      <c r="D107" s="32"/>
      <c r="E107" s="30"/>
      <c r="F107" s="30"/>
      <c r="G107" s="34"/>
      <c r="H107" s="30"/>
      <c r="I107" s="22" t="s">
        <v>43</v>
      </c>
      <c r="J107" s="22" t="s">
        <v>36</v>
      </c>
      <c r="K107" s="22"/>
      <c r="L107" s="22"/>
      <c r="M107" s="22" t="s">
        <v>37</v>
      </c>
      <c r="N107" s="22">
        <v>2</v>
      </c>
      <c r="O107" s="22">
        <v>3</v>
      </c>
      <c r="P107" s="22">
        <f t="shared" si="18"/>
        <v>6</v>
      </c>
      <c r="Q107" s="6" t="str">
        <f t="shared" si="19"/>
        <v>M</v>
      </c>
      <c r="R107" s="22">
        <v>10</v>
      </c>
      <c r="S107" s="22">
        <f t="shared" si="20"/>
        <v>60</v>
      </c>
      <c r="T107" s="23" t="str">
        <f t="shared" si="21"/>
        <v>III</v>
      </c>
      <c r="U107" s="6" t="str">
        <f t="shared" si="22"/>
        <v>MEJORABLE</v>
      </c>
      <c r="V107" s="30"/>
      <c r="W107" s="22" t="s">
        <v>38</v>
      </c>
      <c r="X107" s="22"/>
      <c r="Y107" s="22"/>
      <c r="Z107" s="22"/>
      <c r="AA107" s="22" t="s">
        <v>131</v>
      </c>
      <c r="AB107" s="22"/>
    </row>
    <row r="108" spans="1:28" ht="71.25" customHeight="1" x14ac:dyDescent="0.3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"/>
      <c r="R108" s="1"/>
      <c r="S108" s="1"/>
      <c r="T108" s="2"/>
      <c r="U108" s="1"/>
      <c r="V108" s="1"/>
      <c r="W108" s="1"/>
      <c r="X108" s="1"/>
      <c r="Y108" s="1"/>
      <c r="Z108" s="1"/>
      <c r="AA108" s="1"/>
      <c r="AB108" s="1"/>
    </row>
    <row r="109" spans="1:28" ht="90.75" customHeight="1" x14ac:dyDescent="0.3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"/>
      <c r="R109" s="1"/>
      <c r="S109" s="1"/>
      <c r="T109" s="2"/>
      <c r="U109" s="1"/>
      <c r="V109" s="1"/>
      <c r="W109" s="1"/>
      <c r="X109" s="1"/>
      <c r="Y109" s="1"/>
      <c r="Z109" s="1"/>
      <c r="AA109" s="1"/>
      <c r="AB109" s="1"/>
    </row>
    <row r="110" spans="1:28" ht="83.25" customHeight="1" x14ac:dyDescent="0.3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"/>
      <c r="R110" s="1"/>
      <c r="S110" s="1"/>
      <c r="T110" s="2"/>
      <c r="U110" s="1"/>
      <c r="V110" s="1"/>
      <c r="W110" s="1"/>
      <c r="X110" s="1"/>
      <c r="Y110" s="1"/>
      <c r="Z110" s="1"/>
      <c r="AA110" s="1"/>
      <c r="AB110" s="1"/>
    </row>
    <row r="111" spans="1:28" ht="63" customHeight="1" x14ac:dyDescent="0.3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"/>
      <c r="R111" s="1"/>
      <c r="S111" s="1"/>
      <c r="T111" s="2"/>
      <c r="U111" s="1"/>
      <c r="V111" s="1"/>
      <c r="W111" s="1"/>
      <c r="X111" s="1"/>
      <c r="Y111" s="1"/>
      <c r="Z111" s="1"/>
      <c r="AA111" s="1"/>
      <c r="AB111" s="1"/>
    </row>
    <row r="112" spans="1:28" ht="53.25" customHeight="1" x14ac:dyDescent="0.3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"/>
      <c r="R112" s="1"/>
      <c r="S112" s="1"/>
      <c r="T112" s="2"/>
      <c r="U112" s="1"/>
      <c r="V112" s="1"/>
      <c r="W112" s="1"/>
      <c r="X112" s="1"/>
      <c r="Y112" s="1"/>
      <c r="Z112" s="1"/>
      <c r="AA112" s="1"/>
      <c r="AB112" s="1"/>
    </row>
    <row r="113" spans="1:28" ht="114.75" customHeight="1" x14ac:dyDescent="0.3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"/>
      <c r="R113" s="1"/>
      <c r="S113" s="1"/>
      <c r="T113" s="2"/>
      <c r="U113" s="1"/>
      <c r="V113" s="1"/>
      <c r="W113" s="1"/>
      <c r="X113" s="1"/>
      <c r="Y113" s="1"/>
      <c r="Z113" s="1"/>
      <c r="AA113" s="1"/>
      <c r="AB113" s="1"/>
    </row>
    <row r="114" spans="1:28" ht="70.5" customHeight="1" x14ac:dyDescent="0.3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"/>
      <c r="R114" s="1"/>
      <c r="S114" s="1"/>
      <c r="T114" s="2"/>
      <c r="U114" s="1"/>
      <c r="V114" s="1"/>
      <c r="W114" s="1"/>
      <c r="X114" s="1"/>
      <c r="Y114" s="1"/>
      <c r="Z114" s="1"/>
      <c r="AA114" s="1"/>
      <c r="AB114" s="1"/>
    </row>
    <row r="115" spans="1:28" ht="56.25" customHeight="1" x14ac:dyDescent="0.3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"/>
      <c r="R115" s="1"/>
      <c r="S115" s="1"/>
      <c r="T115" s="2"/>
      <c r="U115" s="1"/>
      <c r="V115" s="1"/>
      <c r="W115" s="1"/>
      <c r="X115" s="1"/>
      <c r="Y115" s="1"/>
      <c r="Z115" s="1"/>
      <c r="AA115" s="1"/>
      <c r="AB115" s="1"/>
    </row>
    <row r="116" spans="1:28" ht="171.75" customHeight="1" x14ac:dyDescent="0.3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"/>
      <c r="R116" s="1"/>
      <c r="S116" s="1"/>
      <c r="T116" s="2"/>
      <c r="U116" s="1"/>
      <c r="V116" s="1"/>
      <c r="W116" s="1"/>
      <c r="X116" s="1"/>
      <c r="Y116" s="1"/>
      <c r="Z116" s="1"/>
      <c r="AA116" s="1"/>
      <c r="AB116" s="1"/>
    </row>
    <row r="117" spans="1:28" ht="171.75" customHeight="1" x14ac:dyDescent="0.3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"/>
      <c r="R117" s="1"/>
      <c r="S117" s="1"/>
      <c r="T117" s="2"/>
      <c r="U117" s="1"/>
      <c r="V117" s="1"/>
      <c r="W117" s="1"/>
      <c r="X117" s="1"/>
      <c r="Y117" s="1"/>
      <c r="Z117" s="1"/>
      <c r="AA117" s="1"/>
      <c r="AB117" s="1"/>
    </row>
    <row r="118" spans="1:28" ht="100.5" customHeight="1" x14ac:dyDescent="0.3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"/>
      <c r="R118" s="1"/>
      <c r="S118" s="1"/>
      <c r="T118" s="2"/>
      <c r="U118" s="1"/>
      <c r="V118" s="1"/>
      <c r="W118" s="1"/>
      <c r="X118" s="1"/>
      <c r="Y118" s="1"/>
      <c r="Z118" s="1"/>
      <c r="AA118" s="1"/>
      <c r="AB118" s="1"/>
    </row>
    <row r="119" spans="1:28" ht="70.5" customHeight="1" x14ac:dyDescent="0.3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"/>
      <c r="R119" s="1"/>
      <c r="S119" s="1"/>
      <c r="T119" s="2"/>
      <c r="U119" s="1"/>
      <c r="V119" s="1"/>
      <c r="W119" s="1"/>
      <c r="X119" s="1"/>
      <c r="Y119" s="1"/>
      <c r="Z119" s="1"/>
      <c r="AA119" s="1"/>
      <c r="AB119" s="1"/>
    </row>
    <row r="120" spans="1:28" ht="96" customHeight="1" x14ac:dyDescent="0.3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"/>
      <c r="R120" s="1"/>
      <c r="S120" s="1"/>
      <c r="T120" s="2"/>
      <c r="U120" s="1"/>
      <c r="V120" s="1"/>
      <c r="W120" s="1"/>
      <c r="X120" s="1"/>
      <c r="Y120" s="1"/>
      <c r="Z120" s="1"/>
      <c r="AA120" s="1"/>
      <c r="AB120" s="1"/>
    </row>
    <row r="121" spans="1:28" ht="45.75" customHeight="1" x14ac:dyDescent="0.3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"/>
      <c r="R121" s="1"/>
      <c r="S121" s="1"/>
      <c r="T121" s="2"/>
      <c r="U121" s="1"/>
      <c r="V121" s="1"/>
      <c r="W121" s="1"/>
      <c r="X121" s="1"/>
      <c r="Y121" s="1"/>
      <c r="Z121" s="1"/>
      <c r="AA121" s="1"/>
      <c r="AB121" s="1"/>
    </row>
    <row r="122" spans="1:28" ht="119.25" customHeight="1" x14ac:dyDescent="0.3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"/>
      <c r="R122" s="1"/>
      <c r="S122" s="1"/>
      <c r="T122" s="2"/>
      <c r="U122" s="1"/>
      <c r="V122" s="1"/>
      <c r="W122" s="1"/>
      <c r="X122" s="1"/>
      <c r="Y122" s="1"/>
      <c r="Z122" s="1"/>
      <c r="AA122" s="1"/>
      <c r="AB122" s="1"/>
    </row>
    <row r="123" spans="1:28" ht="119.25" customHeight="1" x14ac:dyDescent="0.3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"/>
      <c r="R123" s="1"/>
      <c r="S123" s="1"/>
      <c r="T123" s="2"/>
      <c r="U123" s="1"/>
      <c r="V123" s="1"/>
      <c r="W123" s="1"/>
      <c r="X123" s="1"/>
      <c r="Y123" s="1"/>
      <c r="Z123" s="1"/>
      <c r="AA123" s="1"/>
      <c r="AB123" s="1"/>
    </row>
    <row r="124" spans="1:28" ht="119.25" customHeight="1" x14ac:dyDescent="0.3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"/>
      <c r="R124" s="1"/>
      <c r="S124" s="1"/>
      <c r="T124" s="2"/>
      <c r="U124" s="1"/>
      <c r="V124" s="1"/>
      <c r="W124" s="1"/>
      <c r="X124" s="1"/>
      <c r="Y124" s="1"/>
      <c r="Z124" s="1"/>
      <c r="AA124" s="1"/>
      <c r="AB124" s="1"/>
    </row>
    <row r="125" spans="1:28" ht="119.25" customHeight="1" x14ac:dyDescent="0.3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"/>
      <c r="R125" s="1"/>
      <c r="S125" s="1"/>
      <c r="T125" s="2"/>
      <c r="U125" s="1"/>
      <c r="V125" s="1"/>
      <c r="W125" s="1"/>
      <c r="X125" s="1"/>
      <c r="Y125" s="1"/>
      <c r="Z125" s="1"/>
      <c r="AA125" s="1"/>
      <c r="AB125" s="1"/>
    </row>
    <row r="126" spans="1:28" ht="111.75" customHeight="1" x14ac:dyDescent="0.3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"/>
      <c r="R126" s="1"/>
      <c r="S126" s="1"/>
      <c r="T126" s="2"/>
      <c r="U126" s="1"/>
      <c r="V126" s="1"/>
      <c r="W126" s="1"/>
      <c r="X126" s="1"/>
      <c r="Y126" s="1"/>
      <c r="Z126" s="1"/>
      <c r="AA126" s="1"/>
      <c r="AB126" s="1"/>
    </row>
    <row r="127" spans="1:28" ht="111.75" customHeight="1" x14ac:dyDescent="0.3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"/>
      <c r="R127" s="1"/>
      <c r="S127" s="1"/>
      <c r="T127" s="2"/>
      <c r="U127" s="1"/>
      <c r="V127" s="1"/>
      <c r="W127" s="1"/>
      <c r="X127" s="1"/>
      <c r="Y127" s="1"/>
      <c r="Z127" s="1"/>
      <c r="AA127" s="1"/>
      <c r="AB127" s="1"/>
    </row>
    <row r="128" spans="1:28" ht="66" customHeight="1" x14ac:dyDescent="0.3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"/>
      <c r="R128" s="1"/>
      <c r="S128" s="1"/>
      <c r="T128" s="2"/>
      <c r="U128" s="1"/>
      <c r="V128" s="1"/>
      <c r="W128" s="1"/>
      <c r="X128" s="1"/>
      <c r="Y128" s="1"/>
      <c r="Z128" s="1"/>
      <c r="AA128" s="1"/>
      <c r="AB128" s="1"/>
    </row>
    <row r="129" spans="1:28" ht="144.75" customHeight="1" x14ac:dyDescent="0.3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"/>
      <c r="R129" s="1"/>
      <c r="S129" s="1"/>
      <c r="T129" s="2"/>
      <c r="U129" s="1"/>
      <c r="V129" s="1"/>
      <c r="W129" s="1"/>
      <c r="X129" s="1"/>
      <c r="Y129" s="1"/>
      <c r="Z129" s="1"/>
      <c r="AA129" s="1"/>
      <c r="AB129" s="1"/>
    </row>
    <row r="130" spans="1:28" ht="48" customHeight="1" x14ac:dyDescent="0.3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"/>
      <c r="R130" s="1"/>
      <c r="S130" s="1"/>
      <c r="T130" s="2"/>
      <c r="U130" s="1"/>
      <c r="V130" s="1"/>
      <c r="W130" s="1"/>
      <c r="X130" s="1"/>
      <c r="Y130" s="1"/>
      <c r="Z130" s="1"/>
      <c r="AA130" s="1"/>
      <c r="AB130" s="1"/>
    </row>
    <row r="131" spans="1:28" ht="51" customHeight="1" x14ac:dyDescent="0.3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"/>
      <c r="R131" s="1"/>
      <c r="S131" s="1"/>
      <c r="T131" s="2"/>
      <c r="U131" s="1"/>
      <c r="V131" s="1"/>
      <c r="W131" s="1"/>
      <c r="X131" s="1"/>
      <c r="Y131" s="1"/>
      <c r="Z131" s="1"/>
      <c r="AA131" s="1"/>
      <c r="AB131" s="1"/>
    </row>
    <row r="132" spans="1:28" ht="36.75" customHeight="1" x14ac:dyDescent="0.3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"/>
      <c r="R132" s="1"/>
      <c r="S132" s="1"/>
      <c r="T132" s="2"/>
      <c r="U132" s="1"/>
      <c r="V132" s="1"/>
      <c r="W132" s="1"/>
      <c r="X132" s="1"/>
      <c r="Y132" s="1"/>
      <c r="Z132" s="1"/>
      <c r="AA132" s="1"/>
      <c r="AB132" s="1"/>
    </row>
    <row r="133" spans="1:28" ht="37.5" customHeight="1" x14ac:dyDescent="0.3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"/>
      <c r="R133" s="1"/>
      <c r="S133" s="1"/>
      <c r="T133" s="2"/>
      <c r="U133" s="1"/>
      <c r="V133" s="1"/>
      <c r="W133" s="1"/>
      <c r="X133" s="1"/>
      <c r="Y133" s="1"/>
      <c r="Z133" s="1"/>
      <c r="AA133" s="1"/>
      <c r="AB133" s="1"/>
    </row>
    <row r="134" spans="1:28" ht="37.5" customHeight="1" x14ac:dyDescent="0.3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"/>
      <c r="R134" s="1"/>
      <c r="S134" s="1"/>
      <c r="T134" s="2"/>
      <c r="U134" s="1"/>
      <c r="V134" s="1"/>
      <c r="W134" s="1"/>
      <c r="X134" s="1"/>
      <c r="Y134" s="1"/>
      <c r="Z134" s="1"/>
      <c r="AA134" s="1"/>
      <c r="AB134" s="1"/>
    </row>
    <row r="135" spans="1:28" ht="37.5" customHeight="1" x14ac:dyDescent="0.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"/>
      <c r="R135" s="1"/>
      <c r="S135" s="1"/>
      <c r="T135" s="2"/>
      <c r="U135" s="1"/>
      <c r="V135" s="1"/>
      <c r="W135" s="1"/>
      <c r="X135" s="1"/>
      <c r="Y135" s="1"/>
      <c r="Z135" s="1"/>
      <c r="AA135" s="1"/>
      <c r="AB135" s="1"/>
    </row>
    <row r="136" spans="1:28" ht="32.25" customHeight="1" x14ac:dyDescent="0.3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"/>
      <c r="R136" s="1"/>
      <c r="S136" s="1"/>
      <c r="T136" s="2"/>
      <c r="U136" s="1"/>
      <c r="V136" s="1"/>
      <c r="W136" s="1"/>
      <c r="X136" s="1"/>
      <c r="Y136" s="1"/>
      <c r="Z136" s="1"/>
      <c r="AA136" s="1"/>
      <c r="AB136" s="1"/>
    </row>
    <row r="137" spans="1:28" ht="59.25" customHeight="1" x14ac:dyDescent="0.3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"/>
      <c r="R137" s="1"/>
      <c r="S137" s="1"/>
      <c r="T137" s="2"/>
      <c r="U137" s="1"/>
      <c r="V137" s="1"/>
      <c r="W137" s="1"/>
      <c r="X137" s="1"/>
      <c r="Y137" s="1"/>
      <c r="Z137" s="1"/>
      <c r="AA137" s="1"/>
      <c r="AB137" s="1"/>
    </row>
    <row r="138" spans="1:28" ht="58.5" customHeight="1" x14ac:dyDescent="0.3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"/>
      <c r="R138" s="1"/>
      <c r="S138" s="1"/>
      <c r="T138" s="2"/>
      <c r="U138" s="1"/>
      <c r="V138" s="1"/>
      <c r="W138" s="1"/>
      <c r="X138" s="1"/>
      <c r="Y138" s="1"/>
      <c r="Z138" s="1"/>
      <c r="AA138" s="1"/>
      <c r="AB138" s="1"/>
    </row>
    <row r="139" spans="1:28" ht="38.25" customHeight="1" x14ac:dyDescent="0.3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"/>
      <c r="R139" s="1"/>
      <c r="S139" s="1"/>
      <c r="T139" s="2"/>
      <c r="U139" s="1"/>
      <c r="V139" s="1"/>
      <c r="W139" s="1"/>
      <c r="X139" s="1"/>
      <c r="Y139" s="1"/>
      <c r="Z139" s="1"/>
      <c r="AA139" s="1"/>
      <c r="AB139" s="1"/>
    </row>
    <row r="140" spans="1:28" ht="63.75" customHeight="1" x14ac:dyDescent="0.3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"/>
      <c r="R140" s="1"/>
      <c r="S140" s="1"/>
      <c r="T140" s="2"/>
      <c r="U140" s="1"/>
      <c r="V140" s="1"/>
      <c r="W140" s="1"/>
      <c r="X140" s="1"/>
      <c r="Y140" s="1"/>
      <c r="Z140" s="1"/>
      <c r="AA140" s="1"/>
      <c r="AB140" s="1"/>
    </row>
    <row r="141" spans="1:28" ht="63.75" customHeight="1" x14ac:dyDescent="0.3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"/>
      <c r="R141" s="1"/>
      <c r="S141" s="1"/>
      <c r="T141" s="2"/>
      <c r="U141" s="1"/>
      <c r="V141" s="1"/>
      <c r="W141" s="1"/>
      <c r="X141" s="1"/>
      <c r="Y141" s="1"/>
      <c r="Z141" s="1"/>
      <c r="AA141" s="1"/>
      <c r="AB141" s="1"/>
    </row>
    <row r="142" spans="1:28" ht="72" customHeight="1" x14ac:dyDescent="0.3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"/>
      <c r="R142" s="1"/>
      <c r="S142" s="1"/>
      <c r="T142" s="2"/>
      <c r="U142" s="1"/>
      <c r="V142" s="1"/>
      <c r="W142" s="1"/>
      <c r="X142" s="1"/>
      <c r="Y142" s="1"/>
      <c r="Z142" s="1"/>
      <c r="AA142" s="1"/>
      <c r="AB142" s="1"/>
    </row>
    <row r="143" spans="1:28" ht="96.75" customHeight="1" x14ac:dyDescent="0.3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"/>
      <c r="R143" s="1"/>
      <c r="S143" s="1"/>
      <c r="T143" s="2"/>
      <c r="U143" s="1"/>
      <c r="V143" s="1"/>
      <c r="W143" s="1"/>
      <c r="X143" s="1"/>
      <c r="Y143" s="1"/>
      <c r="Z143" s="1"/>
      <c r="AA143" s="1"/>
      <c r="AB143" s="1"/>
    </row>
    <row r="144" spans="1:28" ht="82.5" customHeight="1" x14ac:dyDescent="0.3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"/>
      <c r="R144" s="1"/>
      <c r="S144" s="1"/>
      <c r="T144" s="2"/>
      <c r="U144" s="1"/>
      <c r="V144" s="1"/>
      <c r="W144" s="1"/>
      <c r="X144" s="1"/>
      <c r="Y144" s="1"/>
      <c r="Z144" s="1"/>
      <c r="AA144" s="1"/>
      <c r="AB144" s="1"/>
    </row>
    <row r="145" spans="1:28" ht="18.75" customHeight="1" x14ac:dyDescent="0.3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"/>
      <c r="R145" s="1"/>
      <c r="S145" s="1"/>
      <c r="T145" s="2"/>
      <c r="U145" s="1"/>
      <c r="V145" s="1"/>
      <c r="W145" s="1"/>
      <c r="X145" s="1"/>
      <c r="Y145" s="1"/>
      <c r="Z145" s="1"/>
      <c r="AA145" s="1"/>
      <c r="AB145" s="1"/>
    </row>
    <row r="146" spans="1:28" ht="18.75" customHeight="1" x14ac:dyDescent="0.3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"/>
      <c r="R146" s="1"/>
      <c r="S146" s="1"/>
      <c r="T146" s="2"/>
      <c r="U146" s="1"/>
      <c r="V146" s="1"/>
      <c r="W146" s="1"/>
      <c r="X146" s="1"/>
      <c r="Y146" s="1"/>
      <c r="Z146" s="1"/>
      <c r="AA146" s="1"/>
      <c r="AB146" s="1"/>
    </row>
    <row r="147" spans="1:28" ht="18.75" customHeight="1" x14ac:dyDescent="0.3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"/>
      <c r="R147" s="1"/>
      <c r="S147" s="1"/>
      <c r="T147" s="2"/>
      <c r="U147" s="1"/>
      <c r="V147" s="1"/>
      <c r="W147" s="1"/>
      <c r="X147" s="1"/>
      <c r="Y147" s="1"/>
      <c r="Z147" s="1"/>
      <c r="AA147" s="1"/>
      <c r="AB147" s="1"/>
    </row>
    <row r="148" spans="1:28" ht="18.75" customHeight="1" x14ac:dyDescent="0.3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"/>
      <c r="R148" s="1"/>
      <c r="S148" s="1"/>
      <c r="T148" s="2"/>
      <c r="U148" s="1"/>
      <c r="V148" s="1"/>
      <c r="W148" s="1"/>
      <c r="X148" s="1"/>
      <c r="Y148" s="1"/>
      <c r="Z148" s="1"/>
      <c r="AA148" s="1"/>
      <c r="AB148" s="1"/>
    </row>
    <row r="149" spans="1:28" ht="18.75" customHeight="1" x14ac:dyDescent="0.3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"/>
      <c r="R149" s="1"/>
      <c r="S149" s="1"/>
      <c r="T149" s="2"/>
      <c r="U149" s="1"/>
      <c r="V149" s="1"/>
      <c r="W149" s="1"/>
      <c r="X149" s="1"/>
      <c r="Y149" s="1"/>
      <c r="Z149" s="1"/>
      <c r="AA149" s="1"/>
      <c r="AB149" s="1"/>
    </row>
    <row r="150" spans="1:28" ht="18.75" customHeight="1" x14ac:dyDescent="0.3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"/>
      <c r="R150" s="1"/>
      <c r="S150" s="1"/>
      <c r="T150" s="2"/>
      <c r="U150" s="1"/>
      <c r="V150" s="1"/>
      <c r="W150" s="1"/>
      <c r="X150" s="1"/>
      <c r="Y150" s="1"/>
      <c r="Z150" s="1"/>
      <c r="AA150" s="1"/>
      <c r="AB150" s="1"/>
    </row>
    <row r="151" spans="1:28" ht="18.75" customHeight="1" x14ac:dyDescent="0.3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"/>
      <c r="R151" s="1"/>
      <c r="S151" s="1"/>
      <c r="T151" s="2"/>
      <c r="U151" s="1"/>
      <c r="V151" s="1"/>
      <c r="W151" s="1"/>
      <c r="X151" s="1"/>
      <c r="Y151" s="1"/>
      <c r="Z151" s="1"/>
      <c r="AA151" s="1"/>
      <c r="AB151" s="1"/>
    </row>
    <row r="152" spans="1:28" ht="18.75" customHeight="1" x14ac:dyDescent="0.3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"/>
      <c r="R152" s="1"/>
      <c r="S152" s="1"/>
      <c r="T152" s="2"/>
      <c r="U152" s="1"/>
      <c r="V152" s="1"/>
      <c r="W152" s="1"/>
      <c r="X152" s="1"/>
      <c r="Y152" s="1"/>
      <c r="Z152" s="1"/>
      <c r="AA152" s="1"/>
      <c r="AB152" s="1"/>
    </row>
    <row r="153" spans="1:28" ht="18.75" customHeight="1" x14ac:dyDescent="0.3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"/>
      <c r="R153" s="1"/>
      <c r="S153" s="1"/>
      <c r="T153" s="2"/>
      <c r="U153" s="1"/>
      <c r="V153" s="1"/>
      <c r="W153" s="1"/>
      <c r="X153" s="1"/>
      <c r="Y153" s="1"/>
      <c r="Z153" s="1"/>
      <c r="AA153" s="1"/>
      <c r="AB153" s="1"/>
    </row>
    <row r="154" spans="1:28" ht="18.75" customHeight="1" x14ac:dyDescent="0.3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"/>
      <c r="R154" s="1"/>
      <c r="S154" s="1"/>
      <c r="T154" s="2"/>
      <c r="U154" s="1"/>
      <c r="V154" s="1"/>
      <c r="W154" s="1"/>
      <c r="X154" s="1"/>
      <c r="Y154" s="1"/>
      <c r="Z154" s="1"/>
      <c r="AA154" s="1"/>
      <c r="AB154" s="1"/>
    </row>
    <row r="155" spans="1:28" ht="18.75" customHeight="1" x14ac:dyDescent="0.3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"/>
      <c r="R155" s="1"/>
      <c r="S155" s="1"/>
      <c r="T155" s="2"/>
      <c r="U155" s="1"/>
      <c r="V155" s="1"/>
      <c r="W155" s="1"/>
      <c r="X155" s="1"/>
      <c r="Y155" s="1"/>
      <c r="Z155" s="1"/>
      <c r="AA155" s="1"/>
      <c r="AB155" s="1"/>
    </row>
    <row r="156" spans="1:28" ht="18.75" customHeight="1" x14ac:dyDescent="0.3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"/>
      <c r="R156" s="1"/>
      <c r="S156" s="1"/>
      <c r="T156" s="2"/>
      <c r="U156" s="1"/>
      <c r="V156" s="1"/>
      <c r="W156" s="1"/>
      <c r="X156" s="1"/>
      <c r="Y156" s="1"/>
      <c r="Z156" s="1"/>
      <c r="AA156" s="1"/>
      <c r="AB156" s="1"/>
    </row>
    <row r="157" spans="1:28" ht="18.75" customHeight="1" x14ac:dyDescent="0.3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"/>
      <c r="R157" s="1"/>
      <c r="S157" s="1"/>
      <c r="T157" s="2"/>
      <c r="U157" s="1"/>
      <c r="V157" s="1"/>
      <c r="W157" s="1"/>
      <c r="X157" s="1"/>
      <c r="Y157" s="1"/>
      <c r="Z157" s="1"/>
      <c r="AA157" s="1"/>
      <c r="AB157" s="1"/>
    </row>
    <row r="158" spans="1:28" ht="18.75" customHeight="1" x14ac:dyDescent="0.3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"/>
      <c r="R158" s="1"/>
      <c r="S158" s="1"/>
      <c r="T158" s="2"/>
      <c r="U158" s="1"/>
      <c r="V158" s="1"/>
      <c r="W158" s="1"/>
      <c r="X158" s="1"/>
      <c r="Y158" s="1"/>
      <c r="Z158" s="1"/>
      <c r="AA158" s="1"/>
      <c r="AB158" s="1"/>
    </row>
    <row r="159" spans="1:28" ht="18.75" customHeight="1" x14ac:dyDescent="0.3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"/>
      <c r="R159" s="1"/>
      <c r="S159" s="1"/>
      <c r="T159" s="2"/>
      <c r="U159" s="1"/>
      <c r="V159" s="1"/>
      <c r="W159" s="1"/>
      <c r="X159" s="1"/>
      <c r="Y159" s="1"/>
      <c r="Z159" s="1"/>
      <c r="AA159" s="1"/>
      <c r="AB159" s="1"/>
    </row>
    <row r="160" spans="1:28" ht="18.75" customHeight="1" x14ac:dyDescent="0.3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"/>
      <c r="R160" s="1"/>
      <c r="S160" s="1"/>
      <c r="T160" s="2"/>
      <c r="U160" s="1"/>
      <c r="V160" s="1"/>
      <c r="W160" s="1"/>
      <c r="X160" s="1"/>
      <c r="Y160" s="1"/>
      <c r="Z160" s="1"/>
      <c r="AA160" s="1"/>
      <c r="AB160" s="1"/>
    </row>
    <row r="161" spans="1:28" ht="18.75" customHeight="1" x14ac:dyDescent="0.3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"/>
      <c r="R161" s="1"/>
      <c r="S161" s="1"/>
      <c r="T161" s="2"/>
      <c r="U161" s="1"/>
      <c r="V161" s="1"/>
      <c r="W161" s="1"/>
      <c r="X161" s="1"/>
      <c r="Y161" s="1"/>
      <c r="Z161" s="1"/>
      <c r="AA161" s="1"/>
      <c r="AB161" s="1"/>
    </row>
    <row r="162" spans="1:28" ht="18.75" customHeight="1" x14ac:dyDescent="0.3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"/>
      <c r="R162" s="1"/>
      <c r="S162" s="1"/>
      <c r="T162" s="2"/>
      <c r="U162" s="1"/>
      <c r="V162" s="1"/>
      <c r="W162" s="1"/>
      <c r="X162" s="1"/>
      <c r="Y162" s="1"/>
      <c r="Z162" s="1"/>
      <c r="AA162" s="1"/>
      <c r="AB162" s="1"/>
    </row>
    <row r="163" spans="1:28" ht="18.75" customHeight="1" x14ac:dyDescent="0.3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"/>
      <c r="R163" s="1"/>
      <c r="S163" s="1"/>
      <c r="T163" s="2"/>
      <c r="U163" s="1"/>
      <c r="V163" s="1"/>
      <c r="W163" s="1"/>
      <c r="X163" s="1"/>
      <c r="Y163" s="1"/>
      <c r="Z163" s="1"/>
      <c r="AA163" s="1"/>
      <c r="AB163" s="1"/>
    </row>
    <row r="164" spans="1:28" ht="18.75" customHeight="1" x14ac:dyDescent="0.3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"/>
      <c r="R164" s="1"/>
      <c r="S164" s="1"/>
      <c r="T164" s="2"/>
      <c r="U164" s="1"/>
      <c r="V164" s="1"/>
      <c r="W164" s="1"/>
      <c r="X164" s="1"/>
      <c r="Y164" s="1"/>
      <c r="Z164" s="1"/>
      <c r="AA164" s="1"/>
      <c r="AB164" s="1"/>
    </row>
    <row r="165" spans="1:28" ht="18.75" customHeight="1" x14ac:dyDescent="0.3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"/>
      <c r="R165" s="1"/>
      <c r="S165" s="1"/>
      <c r="T165" s="2"/>
      <c r="U165" s="1"/>
      <c r="V165" s="1"/>
      <c r="W165" s="1"/>
      <c r="X165" s="1"/>
      <c r="Y165" s="1"/>
      <c r="Z165" s="1"/>
      <c r="AA165" s="1"/>
      <c r="AB165" s="1"/>
    </row>
    <row r="166" spans="1:28" ht="18.75" customHeight="1" x14ac:dyDescent="0.3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"/>
      <c r="R166" s="1"/>
      <c r="S166" s="1"/>
      <c r="T166" s="2"/>
      <c r="U166" s="1"/>
      <c r="V166" s="1"/>
      <c r="W166" s="1"/>
      <c r="X166" s="1"/>
      <c r="Y166" s="1"/>
      <c r="Z166" s="1"/>
      <c r="AA166" s="1"/>
      <c r="AB166" s="1"/>
    </row>
    <row r="167" spans="1:28" ht="18.75" customHeight="1" x14ac:dyDescent="0.3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"/>
      <c r="R167" s="1"/>
      <c r="S167" s="1"/>
      <c r="T167" s="2"/>
      <c r="U167" s="1"/>
      <c r="V167" s="1"/>
      <c r="W167" s="1"/>
      <c r="X167" s="1"/>
      <c r="Y167" s="1"/>
      <c r="Z167" s="1"/>
      <c r="AA167" s="1"/>
      <c r="AB167" s="1"/>
    </row>
    <row r="168" spans="1:28" ht="18.75" customHeight="1" x14ac:dyDescent="0.3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"/>
      <c r="R168" s="1"/>
      <c r="S168" s="1"/>
      <c r="T168" s="2"/>
      <c r="U168" s="1"/>
      <c r="V168" s="1"/>
      <c r="W168" s="1"/>
      <c r="X168" s="1"/>
      <c r="Y168" s="1"/>
      <c r="Z168" s="1"/>
      <c r="AA168" s="1"/>
      <c r="AB168" s="1"/>
    </row>
    <row r="169" spans="1:28" ht="18.75" customHeight="1" x14ac:dyDescent="0.3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"/>
      <c r="R169" s="1"/>
      <c r="S169" s="1"/>
      <c r="T169" s="2"/>
      <c r="U169" s="1"/>
      <c r="V169" s="1"/>
      <c r="W169" s="1"/>
      <c r="X169" s="1"/>
      <c r="Y169" s="1"/>
      <c r="Z169" s="1"/>
      <c r="AA169" s="1"/>
      <c r="AB169" s="1"/>
    </row>
    <row r="170" spans="1:28" ht="18.75" customHeight="1" x14ac:dyDescent="0.3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"/>
      <c r="R170" s="1"/>
      <c r="S170" s="1"/>
      <c r="T170" s="2"/>
      <c r="U170" s="1"/>
      <c r="V170" s="1"/>
      <c r="W170" s="1"/>
      <c r="X170" s="1"/>
      <c r="Y170" s="1"/>
      <c r="Z170" s="1"/>
      <c r="AA170" s="1"/>
      <c r="AB170" s="1"/>
    </row>
    <row r="171" spans="1:28" ht="18.75" customHeight="1" x14ac:dyDescent="0.3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"/>
      <c r="R171" s="1"/>
      <c r="S171" s="1"/>
      <c r="T171" s="2"/>
      <c r="U171" s="1"/>
      <c r="V171" s="1"/>
      <c r="W171" s="1"/>
      <c r="X171" s="1"/>
      <c r="Y171" s="1"/>
      <c r="Z171" s="1"/>
      <c r="AA171" s="1"/>
      <c r="AB171" s="1"/>
    </row>
    <row r="172" spans="1:28" ht="18.75" customHeight="1" x14ac:dyDescent="0.3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"/>
      <c r="R172" s="1"/>
      <c r="S172" s="1"/>
      <c r="T172" s="2"/>
      <c r="U172" s="1"/>
      <c r="V172" s="1"/>
      <c r="W172" s="1"/>
      <c r="X172" s="1"/>
      <c r="Y172" s="1"/>
      <c r="Z172" s="1"/>
      <c r="AA172" s="1"/>
      <c r="AB172" s="1"/>
    </row>
    <row r="173" spans="1:28" ht="18.75" customHeight="1" x14ac:dyDescent="0.3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"/>
      <c r="R173" s="1"/>
      <c r="S173" s="1"/>
      <c r="T173" s="2"/>
      <c r="U173" s="1"/>
      <c r="V173" s="1"/>
      <c r="W173" s="1"/>
      <c r="X173" s="1"/>
      <c r="Y173" s="1"/>
      <c r="Z173" s="1"/>
      <c r="AA173" s="1"/>
      <c r="AB173" s="1"/>
    </row>
    <row r="174" spans="1:28" ht="18.75" customHeight="1" x14ac:dyDescent="0.3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"/>
      <c r="R174" s="1"/>
      <c r="S174" s="1"/>
      <c r="T174" s="2"/>
      <c r="U174" s="1"/>
      <c r="V174" s="1"/>
      <c r="W174" s="1"/>
      <c r="X174" s="1"/>
      <c r="Y174" s="1"/>
      <c r="Z174" s="1"/>
      <c r="AA174" s="1"/>
      <c r="AB174" s="1"/>
    </row>
    <row r="175" spans="1:28" ht="18.75" customHeight="1" x14ac:dyDescent="0.3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"/>
      <c r="R175" s="1"/>
      <c r="S175" s="1"/>
      <c r="T175" s="2"/>
      <c r="U175" s="1"/>
      <c r="V175" s="1"/>
      <c r="W175" s="1"/>
      <c r="X175" s="1"/>
      <c r="Y175" s="1"/>
      <c r="Z175" s="1"/>
      <c r="AA175" s="1"/>
      <c r="AB175" s="1"/>
    </row>
    <row r="176" spans="1:28" ht="18.75" customHeight="1" x14ac:dyDescent="0.3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"/>
      <c r="R176" s="1"/>
      <c r="S176" s="1"/>
      <c r="T176" s="2"/>
      <c r="U176" s="1"/>
      <c r="V176" s="1"/>
      <c r="W176" s="1"/>
      <c r="X176" s="1"/>
      <c r="Y176" s="1"/>
      <c r="Z176" s="1"/>
      <c r="AA176" s="1"/>
      <c r="AB176" s="1"/>
    </row>
    <row r="177" spans="1:28" ht="18.75" customHeight="1" x14ac:dyDescent="0.3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"/>
      <c r="R177" s="1"/>
      <c r="S177" s="1"/>
      <c r="T177" s="2"/>
      <c r="U177" s="1"/>
      <c r="V177" s="1"/>
      <c r="W177" s="1"/>
      <c r="X177" s="1"/>
      <c r="Y177" s="1"/>
      <c r="Z177" s="1"/>
      <c r="AA177" s="1"/>
      <c r="AB177" s="1"/>
    </row>
    <row r="178" spans="1:28" ht="18.75" customHeight="1" x14ac:dyDescent="0.3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"/>
      <c r="R178" s="1"/>
      <c r="S178" s="1"/>
      <c r="T178" s="2"/>
      <c r="U178" s="1"/>
      <c r="V178" s="1"/>
      <c r="W178" s="1"/>
      <c r="X178" s="1"/>
      <c r="Y178" s="1"/>
      <c r="Z178" s="1"/>
      <c r="AA178" s="1"/>
      <c r="AB178" s="1"/>
    </row>
    <row r="179" spans="1:28" ht="18.75" customHeight="1" x14ac:dyDescent="0.3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"/>
      <c r="R179" s="1"/>
      <c r="S179" s="1"/>
      <c r="T179" s="2"/>
      <c r="U179" s="1"/>
      <c r="V179" s="1"/>
      <c r="W179" s="1"/>
      <c r="X179" s="1"/>
      <c r="Y179" s="1"/>
      <c r="Z179" s="1"/>
      <c r="AA179" s="1"/>
      <c r="AB179" s="1"/>
    </row>
    <row r="180" spans="1:28" ht="18.75" customHeight="1" x14ac:dyDescent="0.3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"/>
      <c r="R180" s="1"/>
      <c r="S180" s="1"/>
      <c r="T180" s="2"/>
      <c r="U180" s="1"/>
      <c r="V180" s="1"/>
      <c r="W180" s="1"/>
      <c r="X180" s="1"/>
      <c r="Y180" s="1"/>
      <c r="Z180" s="1"/>
      <c r="AA180" s="1"/>
      <c r="AB180" s="1"/>
    </row>
    <row r="181" spans="1:28" ht="18.75" customHeight="1" x14ac:dyDescent="0.3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"/>
      <c r="R181" s="1"/>
      <c r="S181" s="1"/>
      <c r="T181" s="2"/>
      <c r="U181" s="1"/>
      <c r="V181" s="1"/>
      <c r="W181" s="1"/>
      <c r="X181" s="1"/>
      <c r="Y181" s="1"/>
      <c r="Z181" s="1"/>
      <c r="AA181" s="1"/>
      <c r="AB181" s="1"/>
    </row>
    <row r="182" spans="1:28" ht="18.75" customHeight="1" x14ac:dyDescent="0.3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"/>
      <c r="R182" s="1"/>
      <c r="S182" s="1"/>
      <c r="T182" s="2"/>
      <c r="U182" s="1"/>
      <c r="V182" s="1"/>
      <c r="W182" s="1"/>
      <c r="X182" s="1"/>
      <c r="Y182" s="1"/>
      <c r="Z182" s="1"/>
      <c r="AA182" s="1"/>
      <c r="AB182" s="1"/>
    </row>
    <row r="183" spans="1:28" ht="18.75" customHeight="1" x14ac:dyDescent="0.3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"/>
      <c r="R183" s="1"/>
      <c r="S183" s="1"/>
      <c r="T183" s="2"/>
      <c r="U183" s="1"/>
      <c r="V183" s="1"/>
      <c r="W183" s="1"/>
      <c r="X183" s="1"/>
      <c r="Y183" s="1"/>
      <c r="Z183" s="1"/>
      <c r="AA183" s="1"/>
      <c r="AB183" s="1"/>
    </row>
    <row r="184" spans="1:28" ht="18.75" customHeight="1" x14ac:dyDescent="0.3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"/>
      <c r="R184" s="1"/>
      <c r="S184" s="1"/>
      <c r="T184" s="2"/>
      <c r="U184" s="1"/>
      <c r="V184" s="1"/>
      <c r="W184" s="1"/>
      <c r="X184" s="1"/>
      <c r="Y184" s="1"/>
      <c r="Z184" s="1"/>
      <c r="AA184" s="1"/>
      <c r="AB184" s="1"/>
    </row>
    <row r="185" spans="1:28" ht="18.75" customHeight="1" x14ac:dyDescent="0.3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"/>
      <c r="R185" s="1"/>
      <c r="S185" s="1"/>
      <c r="T185" s="2"/>
      <c r="U185" s="1"/>
      <c r="V185" s="1"/>
      <c r="W185" s="1"/>
      <c r="X185" s="1"/>
      <c r="Y185" s="1"/>
      <c r="Z185" s="1"/>
      <c r="AA185" s="1"/>
      <c r="AB185" s="1"/>
    </row>
    <row r="186" spans="1:28" ht="18.75" customHeight="1" x14ac:dyDescent="0.3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"/>
      <c r="R186" s="1"/>
      <c r="S186" s="1"/>
      <c r="T186" s="2"/>
      <c r="U186" s="1"/>
      <c r="V186" s="1"/>
      <c r="W186" s="1"/>
      <c r="X186" s="1"/>
      <c r="Y186" s="1"/>
      <c r="Z186" s="1"/>
      <c r="AA186" s="1"/>
      <c r="AB186" s="1"/>
    </row>
    <row r="187" spans="1:28" ht="18.75" customHeight="1" x14ac:dyDescent="0.3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"/>
      <c r="R187" s="1"/>
      <c r="S187" s="1"/>
      <c r="T187" s="2"/>
      <c r="U187" s="1"/>
      <c r="V187" s="1"/>
      <c r="W187" s="1"/>
      <c r="X187" s="1"/>
      <c r="Y187" s="1"/>
      <c r="Z187" s="1"/>
      <c r="AA187" s="1"/>
      <c r="AB187" s="1"/>
    </row>
    <row r="188" spans="1:28" ht="18.75" customHeight="1" x14ac:dyDescent="0.3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"/>
      <c r="R188" s="1"/>
      <c r="S188" s="1"/>
      <c r="T188" s="2"/>
      <c r="U188" s="1"/>
      <c r="V188" s="1"/>
      <c r="W188" s="1"/>
      <c r="X188" s="1"/>
      <c r="Y188" s="1"/>
      <c r="Z188" s="1"/>
      <c r="AA188" s="1"/>
      <c r="AB188" s="1"/>
    </row>
    <row r="189" spans="1:28" ht="18.75" customHeight="1" x14ac:dyDescent="0.3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"/>
      <c r="R189" s="1"/>
      <c r="S189" s="1"/>
      <c r="T189" s="2"/>
      <c r="U189" s="1"/>
      <c r="V189" s="1"/>
      <c r="W189" s="1"/>
      <c r="X189" s="1"/>
      <c r="Y189" s="1"/>
      <c r="Z189" s="1"/>
      <c r="AA189" s="1"/>
      <c r="AB189" s="1"/>
    </row>
    <row r="190" spans="1:28" ht="18.75" customHeight="1" x14ac:dyDescent="0.3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"/>
      <c r="R190" s="1"/>
      <c r="S190" s="1"/>
      <c r="T190" s="2"/>
      <c r="U190" s="1"/>
      <c r="V190" s="1"/>
      <c r="W190" s="1"/>
      <c r="X190" s="1"/>
      <c r="Y190" s="1"/>
      <c r="Z190" s="1"/>
      <c r="AA190" s="1"/>
      <c r="AB190" s="1"/>
    </row>
    <row r="191" spans="1:28" ht="18.75" customHeight="1" x14ac:dyDescent="0.3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"/>
      <c r="R191" s="1"/>
      <c r="S191" s="1"/>
      <c r="T191" s="2"/>
      <c r="U191" s="1"/>
      <c r="V191" s="1"/>
      <c r="W191" s="1"/>
      <c r="X191" s="1"/>
      <c r="Y191" s="1"/>
      <c r="Z191" s="1"/>
      <c r="AA191" s="1"/>
      <c r="AB191" s="1"/>
    </row>
    <row r="192" spans="1:28" ht="18.75" customHeight="1" x14ac:dyDescent="0.3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"/>
      <c r="R192" s="1"/>
      <c r="S192" s="1"/>
      <c r="T192" s="2"/>
      <c r="U192" s="1"/>
      <c r="V192" s="1"/>
      <c r="W192" s="1"/>
      <c r="X192" s="1"/>
      <c r="Y192" s="1"/>
      <c r="Z192" s="1"/>
      <c r="AA192" s="1"/>
      <c r="AB192" s="1"/>
    </row>
    <row r="193" spans="1:28" ht="18.75" customHeight="1" x14ac:dyDescent="0.3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"/>
      <c r="R193" s="1"/>
      <c r="S193" s="1"/>
      <c r="T193" s="2"/>
      <c r="U193" s="1"/>
      <c r="V193" s="1"/>
      <c r="W193" s="1"/>
      <c r="X193" s="1"/>
      <c r="Y193" s="1"/>
      <c r="Z193" s="1"/>
      <c r="AA193" s="1"/>
      <c r="AB193" s="1"/>
    </row>
    <row r="194" spans="1:28" ht="18.75" customHeight="1" x14ac:dyDescent="0.3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"/>
      <c r="R194" s="1"/>
      <c r="S194" s="1"/>
      <c r="T194" s="2"/>
      <c r="U194" s="1"/>
      <c r="V194" s="1"/>
      <c r="W194" s="1"/>
      <c r="X194" s="1"/>
      <c r="Y194" s="1"/>
      <c r="Z194" s="1"/>
      <c r="AA194" s="1"/>
      <c r="AB194" s="1"/>
    </row>
    <row r="195" spans="1:28" ht="18.75" customHeight="1" x14ac:dyDescent="0.3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"/>
      <c r="R195" s="1"/>
      <c r="S195" s="1"/>
      <c r="T195" s="2"/>
      <c r="U195" s="1"/>
      <c r="V195" s="1"/>
      <c r="W195" s="1"/>
      <c r="X195" s="1"/>
      <c r="Y195" s="1"/>
      <c r="Z195" s="1"/>
      <c r="AA195" s="1"/>
      <c r="AB195" s="1"/>
    </row>
    <row r="196" spans="1:28" ht="18.75" customHeight="1" x14ac:dyDescent="0.3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"/>
      <c r="R196" s="1"/>
      <c r="S196" s="1"/>
      <c r="T196" s="2"/>
      <c r="U196" s="1"/>
      <c r="V196" s="1"/>
      <c r="W196" s="1"/>
      <c r="X196" s="1"/>
      <c r="Y196" s="1"/>
      <c r="Z196" s="1"/>
      <c r="AA196" s="1"/>
      <c r="AB196" s="1"/>
    </row>
    <row r="197" spans="1:28" ht="18.75" customHeight="1" x14ac:dyDescent="0.3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"/>
      <c r="R197" s="1"/>
      <c r="S197" s="1"/>
      <c r="T197" s="2"/>
      <c r="U197" s="1"/>
      <c r="V197" s="1"/>
      <c r="W197" s="1"/>
      <c r="X197" s="1"/>
      <c r="Y197" s="1"/>
      <c r="Z197" s="1"/>
      <c r="AA197" s="1"/>
      <c r="AB197" s="1"/>
    </row>
    <row r="198" spans="1:28" ht="18.75" customHeight="1" x14ac:dyDescent="0.3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"/>
      <c r="R198" s="1"/>
      <c r="S198" s="1"/>
      <c r="T198" s="2"/>
      <c r="U198" s="1"/>
      <c r="V198" s="1"/>
      <c r="W198" s="1"/>
      <c r="X198" s="1"/>
      <c r="Y198" s="1"/>
      <c r="Z198" s="1"/>
      <c r="AA198" s="1"/>
      <c r="AB198" s="1"/>
    </row>
    <row r="199" spans="1:28" ht="18.75" customHeight="1" x14ac:dyDescent="0.3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"/>
      <c r="R199" s="1"/>
      <c r="S199" s="1"/>
      <c r="T199" s="2"/>
      <c r="U199" s="1"/>
      <c r="V199" s="1"/>
      <c r="W199" s="1"/>
      <c r="X199" s="1"/>
      <c r="Y199" s="1"/>
      <c r="Z199" s="1"/>
      <c r="AA199" s="1"/>
      <c r="AB199" s="1"/>
    </row>
    <row r="200" spans="1:28" ht="18.75" customHeight="1" x14ac:dyDescent="0.3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"/>
      <c r="R200" s="1"/>
      <c r="S200" s="1"/>
      <c r="T200" s="2"/>
      <c r="U200" s="1"/>
      <c r="V200" s="1"/>
      <c r="W200" s="1"/>
      <c r="X200" s="1"/>
      <c r="Y200" s="1"/>
      <c r="Z200" s="1"/>
      <c r="AA200" s="1"/>
      <c r="AB200" s="1"/>
    </row>
    <row r="201" spans="1:28" ht="18.75" customHeight="1" x14ac:dyDescent="0.3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"/>
      <c r="R201" s="1"/>
      <c r="S201" s="1"/>
      <c r="T201" s="2"/>
      <c r="U201" s="1"/>
      <c r="V201" s="1"/>
      <c r="W201" s="1"/>
      <c r="X201" s="1"/>
      <c r="Y201" s="1"/>
      <c r="Z201" s="1"/>
      <c r="AA201" s="1"/>
      <c r="AB201" s="1"/>
    </row>
    <row r="202" spans="1:28" ht="18.75" customHeight="1" x14ac:dyDescent="0.3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"/>
      <c r="R202" s="1"/>
      <c r="S202" s="1"/>
      <c r="T202" s="2"/>
      <c r="U202" s="1"/>
      <c r="V202" s="1"/>
      <c r="W202" s="1"/>
      <c r="X202" s="1"/>
      <c r="Y202" s="1"/>
      <c r="Z202" s="1"/>
      <c r="AA202" s="1"/>
      <c r="AB202" s="1"/>
    </row>
    <row r="203" spans="1:28" ht="18.75" customHeight="1" x14ac:dyDescent="0.3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"/>
      <c r="R203" s="1"/>
      <c r="S203" s="1"/>
      <c r="T203" s="2"/>
      <c r="U203" s="1"/>
      <c r="V203" s="1"/>
      <c r="W203" s="1"/>
      <c r="X203" s="1"/>
      <c r="Y203" s="1"/>
      <c r="Z203" s="1"/>
      <c r="AA203" s="1"/>
      <c r="AB203" s="1"/>
    </row>
    <row r="204" spans="1:28" ht="18.75" customHeight="1" x14ac:dyDescent="0.3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"/>
      <c r="R204" s="1"/>
      <c r="S204" s="1"/>
      <c r="T204" s="2"/>
      <c r="U204" s="1"/>
      <c r="V204" s="1"/>
      <c r="W204" s="1"/>
      <c r="X204" s="1"/>
      <c r="Y204" s="1"/>
      <c r="Z204" s="1"/>
      <c r="AA204" s="1"/>
      <c r="AB204" s="1"/>
    </row>
    <row r="205" spans="1:28" ht="18.75" customHeight="1" x14ac:dyDescent="0.3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"/>
      <c r="R205" s="1"/>
      <c r="S205" s="1"/>
      <c r="T205" s="2"/>
      <c r="U205" s="1"/>
      <c r="V205" s="1"/>
      <c r="W205" s="1"/>
      <c r="X205" s="1"/>
      <c r="Y205" s="1"/>
      <c r="Z205" s="1"/>
      <c r="AA205" s="1"/>
      <c r="AB205" s="1"/>
    </row>
    <row r="206" spans="1:28" ht="18.75" customHeight="1" x14ac:dyDescent="0.3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"/>
      <c r="R206" s="1"/>
      <c r="S206" s="1"/>
      <c r="T206" s="2"/>
      <c r="U206" s="1"/>
      <c r="V206" s="1"/>
      <c r="W206" s="1"/>
      <c r="X206" s="1"/>
      <c r="Y206" s="1"/>
      <c r="Z206" s="1"/>
      <c r="AA206" s="1"/>
      <c r="AB206" s="1"/>
    </row>
    <row r="207" spans="1:28" ht="18.75" customHeight="1" x14ac:dyDescent="0.3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"/>
      <c r="R207" s="1"/>
      <c r="S207" s="1"/>
      <c r="T207" s="2"/>
      <c r="U207" s="1"/>
      <c r="V207" s="1"/>
      <c r="W207" s="1"/>
      <c r="X207" s="1"/>
      <c r="Y207" s="1"/>
      <c r="Z207" s="1"/>
      <c r="AA207" s="1"/>
      <c r="AB207" s="1"/>
    </row>
    <row r="208" spans="1:28" ht="18.75" customHeight="1" x14ac:dyDescent="0.3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"/>
      <c r="R208" s="1"/>
      <c r="S208" s="1"/>
      <c r="T208" s="2"/>
      <c r="U208" s="1"/>
      <c r="V208" s="1"/>
      <c r="W208" s="1"/>
      <c r="X208" s="1"/>
      <c r="Y208" s="1"/>
      <c r="Z208" s="1"/>
      <c r="AA208" s="1"/>
      <c r="AB208" s="1"/>
    </row>
    <row r="209" spans="1:28" ht="18.75" customHeight="1" x14ac:dyDescent="0.3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"/>
      <c r="R209" s="1"/>
      <c r="S209" s="1"/>
      <c r="T209" s="2"/>
      <c r="U209" s="1"/>
      <c r="V209" s="1"/>
      <c r="W209" s="1"/>
      <c r="X209" s="1"/>
      <c r="Y209" s="1"/>
      <c r="Z209" s="1"/>
      <c r="AA209" s="1"/>
      <c r="AB209" s="1"/>
    </row>
    <row r="210" spans="1:28" ht="18.75" customHeight="1" x14ac:dyDescent="0.3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"/>
      <c r="R210" s="1"/>
      <c r="S210" s="1"/>
      <c r="T210" s="2"/>
      <c r="U210" s="1"/>
      <c r="V210" s="1"/>
      <c r="W210" s="1"/>
      <c r="X210" s="1"/>
      <c r="Y210" s="1"/>
      <c r="Z210" s="1"/>
      <c r="AA210" s="1"/>
      <c r="AB210" s="1"/>
    </row>
    <row r="211" spans="1:28" ht="18.75" customHeight="1" x14ac:dyDescent="0.3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"/>
      <c r="R211" s="1"/>
      <c r="S211" s="1"/>
      <c r="T211" s="2"/>
      <c r="U211" s="1"/>
      <c r="V211" s="1"/>
      <c r="W211" s="1"/>
      <c r="X211" s="1"/>
      <c r="Y211" s="1"/>
      <c r="Z211" s="1"/>
      <c r="AA211" s="1"/>
      <c r="AB211" s="1"/>
    </row>
    <row r="212" spans="1:28" ht="18.75" customHeight="1" x14ac:dyDescent="0.3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"/>
      <c r="R212" s="1"/>
      <c r="S212" s="1"/>
      <c r="T212" s="2"/>
      <c r="U212" s="1"/>
      <c r="V212" s="1"/>
      <c r="W212" s="1"/>
      <c r="X212" s="1"/>
      <c r="Y212" s="1"/>
      <c r="Z212" s="1"/>
      <c r="AA212" s="1"/>
      <c r="AB212" s="1"/>
    </row>
    <row r="213" spans="1:28" ht="18.75" customHeight="1" x14ac:dyDescent="0.3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"/>
      <c r="R213" s="1"/>
      <c r="S213" s="1"/>
      <c r="T213" s="2"/>
      <c r="U213" s="1"/>
      <c r="V213" s="1"/>
      <c r="W213" s="1"/>
      <c r="X213" s="1"/>
      <c r="Y213" s="1"/>
      <c r="Z213" s="1"/>
      <c r="AA213" s="1"/>
      <c r="AB213" s="1"/>
    </row>
    <row r="214" spans="1:28" ht="18.75" customHeight="1" x14ac:dyDescent="0.3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"/>
      <c r="R214" s="1"/>
      <c r="S214" s="1"/>
      <c r="T214" s="2"/>
      <c r="U214" s="1"/>
      <c r="V214" s="1"/>
      <c r="W214" s="1"/>
      <c r="X214" s="1"/>
      <c r="Y214" s="1"/>
      <c r="Z214" s="1"/>
      <c r="AA214" s="1"/>
      <c r="AB214" s="1"/>
    </row>
    <row r="215" spans="1:28" ht="18.75" customHeight="1" x14ac:dyDescent="0.3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"/>
      <c r="R215" s="1"/>
      <c r="S215" s="1"/>
      <c r="T215" s="2"/>
      <c r="U215" s="1"/>
      <c r="V215" s="1"/>
      <c r="W215" s="1"/>
      <c r="X215" s="1"/>
      <c r="Y215" s="1"/>
      <c r="Z215" s="1"/>
      <c r="AA215" s="1"/>
      <c r="AB215" s="1"/>
    </row>
    <row r="216" spans="1:28" ht="18.75" customHeight="1" x14ac:dyDescent="0.3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"/>
      <c r="R216" s="1"/>
      <c r="S216" s="1"/>
      <c r="T216" s="2"/>
      <c r="U216" s="1"/>
      <c r="V216" s="1"/>
      <c r="W216" s="1"/>
      <c r="X216" s="1"/>
      <c r="Y216" s="1"/>
      <c r="Z216" s="1"/>
      <c r="AA216" s="1"/>
      <c r="AB216" s="1"/>
    </row>
    <row r="217" spans="1:28" ht="18.75" customHeight="1" x14ac:dyDescent="0.3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"/>
      <c r="R217" s="1"/>
      <c r="S217" s="1"/>
      <c r="T217" s="2"/>
      <c r="U217" s="1"/>
      <c r="V217" s="1"/>
      <c r="W217" s="1"/>
      <c r="X217" s="1"/>
      <c r="Y217" s="1"/>
      <c r="Z217" s="1"/>
      <c r="AA217" s="1"/>
      <c r="AB217" s="1"/>
    </row>
    <row r="218" spans="1:28" ht="18.75" customHeight="1" x14ac:dyDescent="0.3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"/>
      <c r="R218" s="1"/>
      <c r="S218" s="1"/>
      <c r="T218" s="2"/>
      <c r="U218" s="1"/>
      <c r="V218" s="1"/>
      <c r="W218" s="1"/>
      <c r="X218" s="1"/>
      <c r="Y218" s="1"/>
      <c r="Z218" s="1"/>
      <c r="AA218" s="1"/>
      <c r="AB218" s="1"/>
    </row>
    <row r="219" spans="1:28" ht="18.75" customHeight="1" x14ac:dyDescent="0.3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"/>
      <c r="R219" s="1"/>
      <c r="S219" s="1"/>
      <c r="T219" s="2"/>
      <c r="U219" s="1"/>
      <c r="V219" s="1"/>
      <c r="W219" s="1"/>
      <c r="X219" s="1"/>
      <c r="Y219" s="1"/>
      <c r="Z219" s="1"/>
      <c r="AA219" s="1"/>
      <c r="AB219" s="1"/>
    </row>
    <row r="220" spans="1:28" ht="18.75" customHeight="1" x14ac:dyDescent="0.3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"/>
      <c r="R220" s="1"/>
      <c r="S220" s="1"/>
      <c r="T220" s="2"/>
      <c r="U220" s="1"/>
      <c r="V220" s="1"/>
      <c r="W220" s="1"/>
      <c r="X220" s="1"/>
      <c r="Y220" s="1"/>
      <c r="Z220" s="1"/>
      <c r="AA220" s="1"/>
      <c r="AB220" s="1"/>
    </row>
    <row r="221" spans="1:28" ht="18.75" customHeight="1" x14ac:dyDescent="0.3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"/>
      <c r="R221" s="1"/>
      <c r="S221" s="1"/>
      <c r="T221" s="2"/>
      <c r="U221" s="1"/>
      <c r="V221" s="1"/>
      <c r="W221" s="1"/>
      <c r="X221" s="1"/>
      <c r="Y221" s="1"/>
      <c r="Z221" s="1"/>
      <c r="AA221" s="1"/>
      <c r="AB221" s="1"/>
    </row>
    <row r="222" spans="1:28" ht="18.75" customHeight="1" x14ac:dyDescent="0.3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"/>
      <c r="R222" s="1"/>
      <c r="S222" s="1"/>
      <c r="T222" s="2"/>
      <c r="U222" s="1"/>
      <c r="V222" s="1"/>
      <c r="W222" s="1"/>
      <c r="X222" s="1"/>
      <c r="Y222" s="1"/>
      <c r="Z222" s="1"/>
      <c r="AA222" s="1"/>
      <c r="AB222" s="1"/>
    </row>
    <row r="223" spans="1:28" ht="18.75" customHeight="1" x14ac:dyDescent="0.3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"/>
      <c r="R223" s="1"/>
      <c r="S223" s="1"/>
      <c r="T223" s="2"/>
      <c r="U223" s="1"/>
      <c r="V223" s="1"/>
      <c r="W223" s="1"/>
      <c r="X223" s="1"/>
      <c r="Y223" s="1"/>
      <c r="Z223" s="1"/>
      <c r="AA223" s="1"/>
      <c r="AB223" s="1"/>
    </row>
    <row r="224" spans="1:28" ht="18.75" customHeight="1" x14ac:dyDescent="0.3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"/>
      <c r="R224" s="1"/>
      <c r="S224" s="1"/>
      <c r="T224" s="2"/>
      <c r="U224" s="1"/>
      <c r="V224" s="1"/>
      <c r="W224" s="1"/>
      <c r="X224" s="1"/>
      <c r="Y224" s="1"/>
      <c r="Z224" s="1"/>
      <c r="AA224" s="1"/>
      <c r="AB224" s="1"/>
    </row>
    <row r="225" spans="1:28" ht="18.75" customHeight="1" x14ac:dyDescent="0.3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"/>
      <c r="R225" s="1"/>
      <c r="S225" s="1"/>
      <c r="T225" s="2"/>
      <c r="U225" s="1"/>
      <c r="V225" s="1"/>
      <c r="W225" s="1"/>
      <c r="X225" s="1"/>
      <c r="Y225" s="1"/>
      <c r="Z225" s="1"/>
      <c r="AA225" s="1"/>
      <c r="AB225" s="1"/>
    </row>
    <row r="226" spans="1:28" ht="18.75" customHeight="1" x14ac:dyDescent="0.3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"/>
      <c r="R226" s="1"/>
      <c r="S226" s="1"/>
      <c r="T226" s="2"/>
      <c r="U226" s="1"/>
      <c r="V226" s="1"/>
      <c r="W226" s="1"/>
      <c r="X226" s="1"/>
      <c r="Y226" s="1"/>
      <c r="Z226" s="1"/>
      <c r="AA226" s="1"/>
      <c r="AB226" s="1"/>
    </row>
    <row r="227" spans="1:28" ht="18.75" customHeight="1" x14ac:dyDescent="0.3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"/>
      <c r="R227" s="1"/>
      <c r="S227" s="1"/>
      <c r="T227" s="2"/>
      <c r="U227" s="1"/>
      <c r="V227" s="1"/>
      <c r="W227" s="1"/>
      <c r="X227" s="1"/>
      <c r="Y227" s="1"/>
      <c r="Z227" s="1"/>
      <c r="AA227" s="1"/>
      <c r="AB227" s="1"/>
    </row>
    <row r="228" spans="1:28" ht="18.75" customHeight="1" x14ac:dyDescent="0.3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"/>
      <c r="R228" s="1"/>
      <c r="S228" s="1"/>
      <c r="T228" s="2"/>
      <c r="U228" s="1"/>
      <c r="V228" s="1"/>
      <c r="W228" s="1"/>
      <c r="X228" s="1"/>
      <c r="Y228" s="1"/>
      <c r="Z228" s="1"/>
      <c r="AA228" s="1"/>
      <c r="AB228" s="1"/>
    </row>
    <row r="229" spans="1:28" ht="18.75" customHeight="1" x14ac:dyDescent="0.3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"/>
      <c r="R229" s="1"/>
      <c r="S229" s="1"/>
      <c r="T229" s="2"/>
      <c r="U229" s="1"/>
      <c r="V229" s="1"/>
      <c r="W229" s="1"/>
      <c r="X229" s="1"/>
      <c r="Y229" s="1"/>
      <c r="Z229" s="1"/>
      <c r="AA229" s="1"/>
      <c r="AB229" s="1"/>
    </row>
    <row r="230" spans="1:28" ht="18.75" customHeight="1" x14ac:dyDescent="0.3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"/>
      <c r="R230" s="1"/>
      <c r="S230" s="1"/>
      <c r="T230" s="2"/>
      <c r="U230" s="1"/>
      <c r="V230" s="1"/>
      <c r="W230" s="1"/>
      <c r="X230" s="1"/>
      <c r="Y230" s="1"/>
      <c r="Z230" s="1"/>
      <c r="AA230" s="1"/>
      <c r="AB230" s="1"/>
    </row>
    <row r="231" spans="1:28" ht="18.75" customHeight="1" x14ac:dyDescent="0.3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"/>
      <c r="R231" s="1"/>
      <c r="S231" s="1"/>
      <c r="T231" s="2"/>
      <c r="U231" s="1"/>
      <c r="V231" s="1"/>
      <c r="W231" s="1"/>
      <c r="X231" s="1"/>
      <c r="Y231" s="1"/>
      <c r="Z231" s="1"/>
      <c r="AA231" s="1"/>
      <c r="AB231" s="1"/>
    </row>
    <row r="232" spans="1:28" ht="18.75" customHeight="1" x14ac:dyDescent="0.3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"/>
      <c r="R232" s="1"/>
      <c r="S232" s="1"/>
      <c r="T232" s="2"/>
      <c r="U232" s="1"/>
      <c r="V232" s="1"/>
      <c r="W232" s="1"/>
      <c r="X232" s="1"/>
      <c r="Y232" s="1"/>
      <c r="Z232" s="1"/>
      <c r="AA232" s="1"/>
      <c r="AB232" s="1"/>
    </row>
    <row r="233" spans="1:28" ht="18.75" customHeight="1" x14ac:dyDescent="0.3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"/>
      <c r="R233" s="1"/>
      <c r="S233" s="1"/>
      <c r="T233" s="2"/>
      <c r="U233" s="1"/>
      <c r="V233" s="1"/>
      <c r="W233" s="1"/>
      <c r="X233" s="1"/>
      <c r="Y233" s="1"/>
      <c r="Z233" s="1"/>
      <c r="AA233" s="1"/>
      <c r="AB233" s="1"/>
    </row>
    <row r="234" spans="1:28" ht="18.75" customHeight="1" x14ac:dyDescent="0.3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"/>
      <c r="R234" s="1"/>
      <c r="S234" s="1"/>
      <c r="T234" s="2"/>
      <c r="U234" s="1"/>
      <c r="V234" s="1"/>
      <c r="W234" s="1"/>
      <c r="X234" s="1"/>
      <c r="Y234" s="1"/>
      <c r="Z234" s="1"/>
      <c r="AA234" s="1"/>
      <c r="AB234" s="1"/>
    </row>
    <row r="235" spans="1:28" ht="18.75" customHeight="1" x14ac:dyDescent="0.3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"/>
      <c r="R235" s="1"/>
      <c r="S235" s="1"/>
      <c r="T235" s="2"/>
      <c r="U235" s="1"/>
      <c r="V235" s="1"/>
      <c r="W235" s="1"/>
      <c r="X235" s="1"/>
      <c r="Y235" s="1"/>
      <c r="Z235" s="1"/>
      <c r="AA235" s="1"/>
      <c r="AB235" s="1"/>
    </row>
    <row r="236" spans="1:28" ht="18.75" customHeight="1" x14ac:dyDescent="0.3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"/>
      <c r="R236" s="1"/>
      <c r="S236" s="1"/>
      <c r="T236" s="2"/>
      <c r="U236" s="1"/>
      <c r="V236" s="1"/>
      <c r="W236" s="1"/>
      <c r="X236" s="1"/>
      <c r="Y236" s="1"/>
      <c r="Z236" s="1"/>
      <c r="AA236" s="1"/>
      <c r="AB236" s="1"/>
    </row>
    <row r="237" spans="1:28" ht="18.75" customHeight="1" x14ac:dyDescent="0.3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"/>
      <c r="R237" s="1"/>
      <c r="S237" s="1"/>
      <c r="T237" s="2"/>
      <c r="U237" s="1"/>
      <c r="V237" s="1"/>
      <c r="W237" s="1"/>
      <c r="X237" s="1"/>
      <c r="Y237" s="1"/>
      <c r="Z237" s="1"/>
      <c r="AA237" s="1"/>
      <c r="AB237" s="1"/>
    </row>
    <row r="238" spans="1:28" ht="18.75" customHeight="1" x14ac:dyDescent="0.3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"/>
      <c r="R238" s="1"/>
      <c r="S238" s="1"/>
      <c r="T238" s="2"/>
      <c r="U238" s="1"/>
      <c r="V238" s="1"/>
      <c r="W238" s="1"/>
      <c r="X238" s="1"/>
      <c r="Y238" s="1"/>
      <c r="Z238" s="1"/>
      <c r="AA238" s="1"/>
      <c r="AB238" s="1"/>
    </row>
    <row r="239" spans="1:28" ht="18.75" customHeight="1" x14ac:dyDescent="0.3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"/>
      <c r="R239" s="1"/>
      <c r="S239" s="1"/>
      <c r="T239" s="2"/>
      <c r="U239" s="1"/>
      <c r="V239" s="1"/>
      <c r="W239" s="1"/>
      <c r="X239" s="1"/>
      <c r="Y239" s="1"/>
      <c r="Z239" s="1"/>
      <c r="AA239" s="1"/>
      <c r="AB239" s="1"/>
    </row>
    <row r="240" spans="1:28" ht="18.75" customHeight="1" x14ac:dyDescent="0.3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"/>
      <c r="R240" s="1"/>
      <c r="S240" s="1"/>
      <c r="T240" s="2"/>
      <c r="U240" s="1"/>
      <c r="V240" s="1"/>
      <c r="W240" s="1"/>
      <c r="X240" s="1"/>
      <c r="Y240" s="1"/>
      <c r="Z240" s="1"/>
      <c r="AA240" s="1"/>
      <c r="AB240" s="1"/>
    </row>
    <row r="241" spans="1:28" ht="18.75" customHeight="1" x14ac:dyDescent="0.3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"/>
      <c r="R241" s="1"/>
      <c r="S241" s="1"/>
      <c r="T241" s="2"/>
      <c r="U241" s="1"/>
      <c r="V241" s="1"/>
      <c r="W241" s="1"/>
      <c r="X241" s="1"/>
      <c r="Y241" s="1"/>
      <c r="Z241" s="1"/>
      <c r="AA241" s="1"/>
      <c r="AB241" s="1"/>
    </row>
    <row r="242" spans="1:28" ht="18.75" customHeight="1" x14ac:dyDescent="0.3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"/>
      <c r="R242" s="1"/>
      <c r="S242" s="1"/>
      <c r="T242" s="2"/>
      <c r="U242" s="1"/>
      <c r="V242" s="1"/>
      <c r="W242" s="1"/>
      <c r="X242" s="1"/>
      <c r="Y242" s="1"/>
      <c r="Z242" s="1"/>
      <c r="AA242" s="1"/>
      <c r="AB242" s="1"/>
    </row>
    <row r="243" spans="1:28" ht="18.75" customHeight="1" x14ac:dyDescent="0.3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"/>
      <c r="R243" s="1"/>
      <c r="S243" s="1"/>
      <c r="T243" s="2"/>
      <c r="U243" s="1"/>
      <c r="V243" s="1"/>
      <c r="W243" s="1"/>
      <c r="X243" s="1"/>
      <c r="Y243" s="1"/>
      <c r="Z243" s="1"/>
      <c r="AA243" s="1"/>
      <c r="AB243" s="1"/>
    </row>
    <row r="244" spans="1:28" ht="18.75" customHeight="1" x14ac:dyDescent="0.3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"/>
      <c r="R244" s="1"/>
      <c r="S244" s="1"/>
      <c r="T244" s="2"/>
      <c r="U244" s="1"/>
      <c r="V244" s="1"/>
      <c r="W244" s="1"/>
      <c r="X244" s="1"/>
      <c r="Y244" s="1"/>
      <c r="Z244" s="1"/>
      <c r="AA244" s="1"/>
      <c r="AB244" s="1"/>
    </row>
    <row r="245" spans="1:28" ht="18.75" customHeight="1" x14ac:dyDescent="0.3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"/>
      <c r="R245" s="1"/>
      <c r="S245" s="1"/>
      <c r="T245" s="2"/>
      <c r="U245" s="1"/>
      <c r="V245" s="1"/>
      <c r="W245" s="1"/>
      <c r="X245" s="1"/>
      <c r="Y245" s="1"/>
      <c r="Z245" s="1"/>
      <c r="AA245" s="1"/>
      <c r="AB245" s="1"/>
    </row>
    <row r="246" spans="1:28" ht="18.75" customHeight="1" x14ac:dyDescent="0.3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"/>
      <c r="R246" s="1"/>
      <c r="S246" s="1"/>
      <c r="T246" s="2"/>
      <c r="U246" s="1"/>
      <c r="V246" s="1"/>
      <c r="W246" s="1"/>
      <c r="X246" s="1"/>
      <c r="Y246" s="1"/>
      <c r="Z246" s="1"/>
      <c r="AA246" s="1"/>
      <c r="AB246" s="1"/>
    </row>
    <row r="247" spans="1:28" ht="18.75" customHeight="1" x14ac:dyDescent="0.3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"/>
      <c r="R247" s="1"/>
      <c r="S247" s="1"/>
      <c r="T247" s="2"/>
      <c r="U247" s="1"/>
      <c r="V247" s="1"/>
      <c r="W247" s="1"/>
      <c r="X247" s="1"/>
      <c r="Y247" s="1"/>
      <c r="Z247" s="1"/>
      <c r="AA247" s="1"/>
      <c r="AB247" s="1"/>
    </row>
    <row r="248" spans="1:28" ht="18.75" customHeight="1" x14ac:dyDescent="0.3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"/>
      <c r="R248" s="1"/>
      <c r="S248" s="1"/>
      <c r="T248" s="2"/>
      <c r="U248" s="1"/>
      <c r="V248" s="1"/>
      <c r="W248" s="1"/>
      <c r="X248" s="1"/>
      <c r="Y248" s="1"/>
      <c r="Z248" s="1"/>
      <c r="AA248" s="1"/>
      <c r="AB248" s="1"/>
    </row>
    <row r="249" spans="1:28" ht="18.75" customHeight="1" x14ac:dyDescent="0.3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"/>
      <c r="R249" s="1"/>
      <c r="S249" s="1"/>
      <c r="T249" s="2"/>
      <c r="U249" s="1"/>
      <c r="V249" s="1"/>
      <c r="W249" s="1"/>
      <c r="X249" s="1"/>
      <c r="Y249" s="1"/>
      <c r="Z249" s="1"/>
      <c r="AA249" s="1"/>
      <c r="AB249" s="1"/>
    </row>
    <row r="250" spans="1:28" ht="18.75" customHeight="1" x14ac:dyDescent="0.3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"/>
      <c r="R250" s="1"/>
      <c r="S250" s="1"/>
      <c r="T250" s="2"/>
      <c r="U250" s="1"/>
      <c r="V250" s="1"/>
      <c r="W250" s="1"/>
      <c r="X250" s="1"/>
      <c r="Y250" s="1"/>
      <c r="Z250" s="1"/>
      <c r="AA250" s="1"/>
      <c r="AB250" s="1"/>
    </row>
    <row r="251" spans="1:28" ht="18.75" customHeight="1" x14ac:dyDescent="0.3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"/>
      <c r="R251" s="1"/>
      <c r="S251" s="1"/>
      <c r="T251" s="2"/>
      <c r="U251" s="1"/>
      <c r="V251" s="1"/>
      <c r="W251" s="1"/>
      <c r="X251" s="1"/>
      <c r="Y251" s="1"/>
      <c r="Z251" s="1"/>
      <c r="AA251" s="1"/>
      <c r="AB251" s="1"/>
    </row>
    <row r="252" spans="1:28" ht="18.75" customHeight="1" x14ac:dyDescent="0.3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"/>
      <c r="R252" s="1"/>
      <c r="S252" s="1"/>
      <c r="T252" s="2"/>
      <c r="U252" s="1"/>
      <c r="V252" s="1"/>
      <c r="W252" s="1"/>
      <c r="X252" s="1"/>
      <c r="Y252" s="1"/>
      <c r="Z252" s="1"/>
      <c r="AA252" s="1"/>
      <c r="AB252" s="1"/>
    </row>
    <row r="253" spans="1:28" ht="18.75" customHeight="1" x14ac:dyDescent="0.3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"/>
      <c r="R253" s="1"/>
      <c r="S253" s="1"/>
      <c r="T253" s="2"/>
      <c r="U253" s="1"/>
      <c r="V253" s="1"/>
      <c r="W253" s="1"/>
      <c r="X253" s="1"/>
      <c r="Y253" s="1"/>
      <c r="Z253" s="1"/>
      <c r="AA253" s="1"/>
      <c r="AB253" s="1"/>
    </row>
    <row r="254" spans="1:28" ht="18.75" customHeight="1" x14ac:dyDescent="0.3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"/>
      <c r="R254" s="1"/>
      <c r="S254" s="1"/>
      <c r="T254" s="2"/>
      <c r="U254" s="1"/>
      <c r="V254" s="1"/>
      <c r="W254" s="1"/>
      <c r="X254" s="1"/>
      <c r="Y254" s="1"/>
      <c r="Z254" s="1"/>
      <c r="AA254" s="1"/>
      <c r="AB254" s="1"/>
    </row>
    <row r="255" spans="1:28" ht="18.75" customHeight="1" x14ac:dyDescent="0.3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"/>
      <c r="R255" s="1"/>
      <c r="S255" s="1"/>
      <c r="T255" s="2"/>
      <c r="U255" s="1"/>
      <c r="V255" s="1"/>
      <c r="W255" s="1"/>
      <c r="X255" s="1"/>
      <c r="Y255" s="1"/>
      <c r="Z255" s="1"/>
      <c r="AA255" s="1"/>
      <c r="AB255" s="1"/>
    </row>
    <row r="256" spans="1:28" ht="18.75" customHeight="1" x14ac:dyDescent="0.3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"/>
      <c r="R256" s="1"/>
      <c r="S256" s="1"/>
      <c r="T256" s="2"/>
      <c r="U256" s="1"/>
      <c r="V256" s="1"/>
      <c r="W256" s="1"/>
      <c r="X256" s="1"/>
      <c r="Y256" s="1"/>
      <c r="Z256" s="1"/>
      <c r="AA256" s="1"/>
      <c r="AB256" s="1"/>
    </row>
    <row r="257" spans="1:28" ht="18.75" customHeight="1" x14ac:dyDescent="0.3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"/>
      <c r="R257" s="1"/>
      <c r="S257" s="1"/>
      <c r="T257" s="2"/>
      <c r="U257" s="1"/>
      <c r="V257" s="1"/>
      <c r="W257" s="1"/>
      <c r="X257" s="1"/>
      <c r="Y257" s="1"/>
      <c r="Z257" s="1"/>
      <c r="AA257" s="1"/>
      <c r="AB257" s="1"/>
    </row>
    <row r="258" spans="1:28" ht="18.75" customHeight="1" x14ac:dyDescent="0.3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"/>
      <c r="R258" s="1"/>
      <c r="S258" s="1"/>
      <c r="T258" s="2"/>
      <c r="U258" s="1"/>
      <c r="V258" s="1"/>
      <c r="W258" s="1"/>
      <c r="X258" s="1"/>
      <c r="Y258" s="1"/>
      <c r="Z258" s="1"/>
      <c r="AA258" s="1"/>
      <c r="AB258" s="1"/>
    </row>
    <row r="259" spans="1:28" ht="18.75" customHeight="1" x14ac:dyDescent="0.3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"/>
      <c r="R259" s="1"/>
      <c r="S259" s="1"/>
      <c r="T259" s="2"/>
      <c r="U259" s="1"/>
      <c r="V259" s="1"/>
      <c r="W259" s="1"/>
      <c r="X259" s="1"/>
      <c r="Y259" s="1"/>
      <c r="Z259" s="1"/>
      <c r="AA259" s="1"/>
      <c r="AB259" s="1"/>
    </row>
    <row r="260" spans="1:28" ht="18.75" customHeight="1" x14ac:dyDescent="0.3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"/>
      <c r="R260" s="1"/>
      <c r="S260" s="1"/>
      <c r="T260" s="2"/>
      <c r="U260" s="1"/>
      <c r="V260" s="1"/>
      <c r="W260" s="1"/>
      <c r="X260" s="1"/>
      <c r="Y260" s="1"/>
      <c r="Z260" s="1"/>
      <c r="AA260" s="1"/>
      <c r="AB260" s="1"/>
    </row>
    <row r="261" spans="1:28" ht="18.75" customHeight="1" x14ac:dyDescent="0.3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"/>
      <c r="R261" s="1"/>
      <c r="S261" s="1"/>
      <c r="T261" s="2"/>
      <c r="U261" s="1"/>
      <c r="V261" s="1"/>
      <c r="W261" s="1"/>
      <c r="X261" s="1"/>
      <c r="Y261" s="1"/>
      <c r="Z261" s="1"/>
      <c r="AA261" s="1"/>
      <c r="AB261" s="1"/>
    </row>
    <row r="262" spans="1:28" ht="18.75" customHeight="1" x14ac:dyDescent="0.3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"/>
      <c r="R262" s="1"/>
      <c r="S262" s="1"/>
      <c r="T262" s="2"/>
      <c r="U262" s="1"/>
      <c r="V262" s="1"/>
      <c r="W262" s="1"/>
      <c r="X262" s="1"/>
      <c r="Y262" s="1"/>
      <c r="Z262" s="1"/>
      <c r="AA262" s="1"/>
      <c r="AB262" s="1"/>
    </row>
    <row r="263" spans="1:28" ht="18.75" customHeight="1" x14ac:dyDescent="0.3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"/>
      <c r="R263" s="1"/>
      <c r="S263" s="1"/>
      <c r="T263" s="2"/>
      <c r="U263" s="1"/>
      <c r="V263" s="1"/>
      <c r="W263" s="1"/>
      <c r="X263" s="1"/>
      <c r="Y263" s="1"/>
      <c r="Z263" s="1"/>
      <c r="AA263" s="1"/>
      <c r="AB263" s="1"/>
    </row>
    <row r="264" spans="1:28" ht="18.75" customHeight="1" x14ac:dyDescent="0.3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"/>
      <c r="R264" s="1"/>
      <c r="S264" s="1"/>
      <c r="T264" s="2"/>
      <c r="U264" s="1"/>
      <c r="V264" s="1"/>
      <c r="W264" s="1"/>
      <c r="X264" s="1"/>
      <c r="Y264" s="1"/>
      <c r="Z264" s="1"/>
      <c r="AA264" s="1"/>
      <c r="AB264" s="1"/>
    </row>
    <row r="265" spans="1:28" ht="18.75" customHeight="1" x14ac:dyDescent="0.3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"/>
      <c r="R265" s="1"/>
      <c r="S265" s="1"/>
      <c r="T265" s="2"/>
      <c r="U265" s="1"/>
      <c r="V265" s="1"/>
      <c r="W265" s="1"/>
      <c r="X265" s="1"/>
      <c r="Y265" s="1"/>
      <c r="Z265" s="1"/>
      <c r="AA265" s="1"/>
      <c r="AB265" s="1"/>
    </row>
    <row r="266" spans="1:28" ht="18.75" customHeight="1" x14ac:dyDescent="0.3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"/>
      <c r="R266" s="1"/>
      <c r="S266" s="1"/>
      <c r="T266" s="2"/>
      <c r="U266" s="1"/>
      <c r="V266" s="1"/>
      <c r="W266" s="1"/>
      <c r="X266" s="1"/>
      <c r="Y266" s="1"/>
      <c r="Z266" s="1"/>
      <c r="AA266" s="1"/>
      <c r="AB266" s="1"/>
    </row>
    <row r="267" spans="1:28" ht="18.75" customHeight="1" x14ac:dyDescent="0.3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"/>
      <c r="R267" s="1"/>
      <c r="S267" s="1"/>
      <c r="T267" s="2"/>
      <c r="U267" s="1"/>
      <c r="V267" s="1"/>
      <c r="W267" s="1"/>
      <c r="X267" s="1"/>
      <c r="Y267" s="1"/>
      <c r="Z267" s="1"/>
      <c r="AA267" s="1"/>
      <c r="AB267" s="1"/>
    </row>
    <row r="268" spans="1:28" ht="18.75" customHeight="1" x14ac:dyDescent="0.3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"/>
      <c r="R268" s="1"/>
      <c r="S268" s="1"/>
      <c r="T268" s="2"/>
      <c r="U268" s="1"/>
      <c r="V268" s="1"/>
      <c r="W268" s="1"/>
      <c r="X268" s="1"/>
      <c r="Y268" s="1"/>
      <c r="Z268" s="1"/>
      <c r="AA268" s="1"/>
      <c r="AB268" s="1"/>
    </row>
    <row r="269" spans="1:28" ht="18.75" customHeight="1" x14ac:dyDescent="0.3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"/>
      <c r="R269" s="1"/>
      <c r="S269" s="1"/>
      <c r="T269" s="2"/>
      <c r="U269" s="1"/>
      <c r="V269" s="1"/>
      <c r="W269" s="1"/>
      <c r="X269" s="1"/>
      <c r="Y269" s="1"/>
      <c r="Z269" s="1"/>
      <c r="AA269" s="1"/>
      <c r="AB269" s="1"/>
    </row>
    <row r="270" spans="1:28" ht="18.75" customHeight="1" x14ac:dyDescent="0.3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"/>
      <c r="R270" s="1"/>
      <c r="S270" s="1"/>
      <c r="T270" s="2"/>
      <c r="U270" s="1"/>
      <c r="V270" s="1"/>
      <c r="W270" s="1"/>
      <c r="X270" s="1"/>
      <c r="Y270" s="1"/>
      <c r="Z270" s="1"/>
      <c r="AA270" s="1"/>
      <c r="AB270" s="1"/>
    </row>
    <row r="271" spans="1:28" ht="18.75" customHeight="1" x14ac:dyDescent="0.3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"/>
      <c r="R271" s="1"/>
      <c r="S271" s="1"/>
      <c r="T271" s="2"/>
      <c r="U271" s="1"/>
      <c r="V271" s="1"/>
      <c r="W271" s="1"/>
      <c r="X271" s="1"/>
      <c r="Y271" s="1"/>
      <c r="Z271" s="1"/>
      <c r="AA271" s="1"/>
      <c r="AB271" s="1"/>
    </row>
    <row r="272" spans="1:28" ht="18.75" customHeight="1" x14ac:dyDescent="0.3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"/>
      <c r="R272" s="1"/>
      <c r="S272" s="1"/>
      <c r="T272" s="2"/>
      <c r="U272" s="1"/>
      <c r="V272" s="1"/>
      <c r="W272" s="1"/>
      <c r="X272" s="1"/>
      <c r="Y272" s="1"/>
      <c r="Z272" s="1"/>
      <c r="AA272" s="1"/>
      <c r="AB272" s="1"/>
    </row>
    <row r="273" spans="1:28" ht="18.75" customHeight="1" x14ac:dyDescent="0.3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"/>
      <c r="R273" s="1"/>
      <c r="S273" s="1"/>
      <c r="T273" s="2"/>
      <c r="U273" s="1"/>
      <c r="V273" s="1"/>
      <c r="W273" s="1"/>
      <c r="X273" s="1"/>
      <c r="Y273" s="1"/>
      <c r="Z273" s="1"/>
      <c r="AA273" s="1"/>
      <c r="AB273" s="1"/>
    </row>
    <row r="274" spans="1:28" ht="18.75" customHeight="1" x14ac:dyDescent="0.3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"/>
      <c r="R274" s="1"/>
      <c r="S274" s="1"/>
      <c r="T274" s="2"/>
      <c r="U274" s="1"/>
      <c r="V274" s="1"/>
      <c r="W274" s="1"/>
      <c r="X274" s="1"/>
      <c r="Y274" s="1"/>
      <c r="Z274" s="1"/>
      <c r="AA274" s="1"/>
      <c r="AB274" s="1"/>
    </row>
    <row r="275" spans="1:28" ht="18.75" customHeight="1" x14ac:dyDescent="0.3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"/>
      <c r="R275" s="1"/>
      <c r="S275" s="1"/>
      <c r="T275" s="2"/>
      <c r="U275" s="1"/>
      <c r="V275" s="1"/>
      <c r="W275" s="1"/>
      <c r="X275" s="1"/>
      <c r="Y275" s="1"/>
      <c r="Z275" s="1"/>
      <c r="AA275" s="1"/>
      <c r="AB275" s="1"/>
    </row>
    <row r="276" spans="1:28" ht="18.75" customHeight="1" x14ac:dyDescent="0.3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"/>
      <c r="R276" s="1"/>
      <c r="S276" s="1"/>
      <c r="T276" s="2"/>
      <c r="U276" s="1"/>
      <c r="V276" s="1"/>
      <c r="W276" s="1"/>
      <c r="X276" s="1"/>
      <c r="Y276" s="1"/>
      <c r="Z276" s="1"/>
      <c r="AA276" s="1"/>
      <c r="AB276" s="1"/>
    </row>
    <row r="277" spans="1:28" ht="18.75" customHeight="1" x14ac:dyDescent="0.3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"/>
      <c r="R277" s="1"/>
      <c r="S277" s="1"/>
      <c r="T277" s="2"/>
      <c r="U277" s="1"/>
      <c r="V277" s="1"/>
      <c r="W277" s="1"/>
      <c r="X277" s="1"/>
      <c r="Y277" s="1"/>
      <c r="Z277" s="1"/>
      <c r="AA277" s="1"/>
      <c r="AB277" s="1"/>
    </row>
    <row r="278" spans="1:28" ht="18.75" customHeight="1" x14ac:dyDescent="0.3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"/>
      <c r="R278" s="1"/>
      <c r="S278" s="1"/>
      <c r="T278" s="2"/>
      <c r="U278" s="1"/>
      <c r="V278" s="1"/>
      <c r="W278" s="1"/>
      <c r="X278" s="1"/>
      <c r="Y278" s="1"/>
      <c r="Z278" s="1"/>
      <c r="AA278" s="1"/>
      <c r="AB278" s="1"/>
    </row>
    <row r="279" spans="1:28" ht="18.75" customHeight="1" x14ac:dyDescent="0.3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"/>
      <c r="R279" s="1"/>
      <c r="S279" s="1"/>
      <c r="T279" s="2"/>
      <c r="U279" s="1"/>
      <c r="V279" s="1"/>
      <c r="W279" s="1"/>
      <c r="X279" s="1"/>
      <c r="Y279" s="1"/>
      <c r="Z279" s="1"/>
      <c r="AA279" s="1"/>
      <c r="AB279" s="1"/>
    </row>
    <row r="280" spans="1:28" ht="18.75" customHeight="1" x14ac:dyDescent="0.3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"/>
      <c r="R280" s="1"/>
      <c r="S280" s="1"/>
      <c r="T280" s="2"/>
      <c r="U280" s="1"/>
      <c r="V280" s="1"/>
      <c r="W280" s="1"/>
      <c r="X280" s="1"/>
      <c r="Y280" s="1"/>
      <c r="Z280" s="1"/>
      <c r="AA280" s="1"/>
      <c r="AB280" s="1"/>
    </row>
    <row r="281" spans="1:28" ht="18.75" customHeight="1" x14ac:dyDescent="0.3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"/>
      <c r="R281" s="1"/>
      <c r="S281" s="1"/>
      <c r="T281" s="2"/>
      <c r="U281" s="1"/>
      <c r="V281" s="1"/>
      <c r="W281" s="1"/>
      <c r="X281" s="1"/>
      <c r="Y281" s="1"/>
      <c r="Z281" s="1"/>
      <c r="AA281" s="1"/>
      <c r="AB281" s="1"/>
    </row>
    <row r="282" spans="1:28" ht="18.75" customHeight="1" x14ac:dyDescent="0.3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"/>
      <c r="R282" s="1"/>
      <c r="S282" s="1"/>
      <c r="T282" s="2"/>
      <c r="U282" s="1"/>
      <c r="V282" s="1"/>
      <c r="W282" s="1"/>
      <c r="X282" s="1"/>
      <c r="Y282" s="1"/>
      <c r="Z282" s="1"/>
      <c r="AA282" s="1"/>
      <c r="AB282" s="1"/>
    </row>
    <row r="283" spans="1:28" ht="18.75" customHeight="1" x14ac:dyDescent="0.3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"/>
      <c r="R283" s="1"/>
      <c r="S283" s="1"/>
      <c r="T283" s="2"/>
      <c r="U283" s="1"/>
      <c r="V283" s="1"/>
      <c r="W283" s="1"/>
      <c r="X283" s="1"/>
      <c r="Y283" s="1"/>
      <c r="Z283" s="1"/>
      <c r="AA283" s="1"/>
      <c r="AB283" s="1"/>
    </row>
    <row r="284" spans="1:28" ht="18.75" customHeight="1" x14ac:dyDescent="0.3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"/>
      <c r="R284" s="1"/>
      <c r="S284" s="1"/>
      <c r="T284" s="2"/>
      <c r="U284" s="1"/>
      <c r="V284" s="1"/>
      <c r="W284" s="1"/>
      <c r="X284" s="1"/>
      <c r="Y284" s="1"/>
      <c r="Z284" s="1"/>
      <c r="AA284" s="1"/>
      <c r="AB284" s="1"/>
    </row>
    <row r="285" spans="1:28" ht="18.75" customHeight="1" x14ac:dyDescent="0.3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"/>
      <c r="R285" s="1"/>
      <c r="S285" s="1"/>
      <c r="T285" s="2"/>
      <c r="U285" s="1"/>
      <c r="V285" s="1"/>
      <c r="W285" s="1"/>
      <c r="X285" s="1"/>
      <c r="Y285" s="1"/>
      <c r="Z285" s="1"/>
      <c r="AA285" s="1"/>
      <c r="AB285" s="1"/>
    </row>
    <row r="286" spans="1:28" ht="18.75" customHeight="1" x14ac:dyDescent="0.3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"/>
      <c r="R286" s="1"/>
      <c r="S286" s="1"/>
      <c r="T286" s="2"/>
      <c r="U286" s="1"/>
      <c r="V286" s="1"/>
      <c r="W286" s="1"/>
      <c r="X286" s="1"/>
      <c r="Y286" s="1"/>
      <c r="Z286" s="1"/>
      <c r="AA286" s="1"/>
      <c r="AB286" s="1"/>
    </row>
    <row r="287" spans="1:28" ht="18.75" customHeight="1" x14ac:dyDescent="0.3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"/>
      <c r="R287" s="1"/>
      <c r="S287" s="1"/>
      <c r="T287" s="2"/>
      <c r="U287" s="1"/>
      <c r="V287" s="1"/>
      <c r="W287" s="1"/>
      <c r="X287" s="1"/>
      <c r="Y287" s="1"/>
      <c r="Z287" s="1"/>
      <c r="AA287" s="1"/>
      <c r="AB287" s="1"/>
    </row>
    <row r="288" spans="1:28" ht="18.75" customHeight="1" x14ac:dyDescent="0.3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"/>
      <c r="R288" s="1"/>
      <c r="S288" s="1"/>
      <c r="T288" s="2"/>
      <c r="U288" s="1"/>
      <c r="V288" s="1"/>
      <c r="W288" s="1"/>
      <c r="X288" s="1"/>
      <c r="Y288" s="1"/>
      <c r="Z288" s="1"/>
      <c r="AA288" s="1"/>
      <c r="AB288" s="1"/>
    </row>
    <row r="289" spans="1:28" ht="18.75" customHeight="1" x14ac:dyDescent="0.3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"/>
      <c r="R289" s="1"/>
      <c r="S289" s="1"/>
      <c r="T289" s="2"/>
      <c r="U289" s="1"/>
      <c r="V289" s="1"/>
      <c r="W289" s="1"/>
      <c r="X289" s="1"/>
      <c r="Y289" s="1"/>
      <c r="Z289" s="1"/>
      <c r="AA289" s="1"/>
      <c r="AB289" s="1"/>
    </row>
    <row r="290" spans="1:28" ht="18.75" customHeight="1" x14ac:dyDescent="0.3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"/>
      <c r="R290" s="1"/>
      <c r="S290" s="1"/>
      <c r="T290" s="2"/>
      <c r="U290" s="1"/>
      <c r="V290" s="1"/>
      <c r="W290" s="1"/>
      <c r="X290" s="1"/>
      <c r="Y290" s="1"/>
      <c r="Z290" s="1"/>
      <c r="AA290" s="1"/>
      <c r="AB290" s="1"/>
    </row>
    <row r="291" spans="1:28" ht="18.75" customHeight="1" x14ac:dyDescent="0.3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"/>
      <c r="R291" s="1"/>
      <c r="S291" s="1"/>
      <c r="T291" s="2"/>
      <c r="U291" s="1"/>
      <c r="V291" s="1"/>
      <c r="W291" s="1"/>
      <c r="X291" s="1"/>
      <c r="Y291" s="1"/>
      <c r="Z291" s="1"/>
      <c r="AA291" s="1"/>
      <c r="AB291" s="1"/>
    </row>
    <row r="292" spans="1:28" ht="18.75" customHeight="1" x14ac:dyDescent="0.3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"/>
      <c r="R292" s="1"/>
      <c r="S292" s="1"/>
      <c r="T292" s="2"/>
      <c r="U292" s="1"/>
      <c r="V292" s="1"/>
      <c r="W292" s="1"/>
      <c r="X292" s="1"/>
      <c r="Y292" s="1"/>
      <c r="Z292" s="1"/>
      <c r="AA292" s="1"/>
      <c r="AB292" s="1"/>
    </row>
    <row r="293" spans="1:28" ht="18.75" customHeight="1" x14ac:dyDescent="0.3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"/>
      <c r="R293" s="1"/>
      <c r="S293" s="1"/>
      <c r="T293" s="2"/>
      <c r="U293" s="1"/>
      <c r="V293" s="1"/>
      <c r="W293" s="1"/>
      <c r="X293" s="1"/>
      <c r="Y293" s="1"/>
      <c r="Z293" s="1"/>
      <c r="AA293" s="1"/>
      <c r="AB293" s="1"/>
    </row>
    <row r="294" spans="1:28" ht="18.75" customHeight="1" x14ac:dyDescent="0.3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"/>
      <c r="R294" s="1"/>
      <c r="S294" s="1"/>
      <c r="T294" s="2"/>
      <c r="U294" s="1"/>
      <c r="V294" s="1"/>
      <c r="W294" s="1"/>
      <c r="X294" s="1"/>
      <c r="Y294" s="1"/>
      <c r="Z294" s="1"/>
      <c r="AA294" s="1"/>
      <c r="AB294" s="1"/>
    </row>
    <row r="295" spans="1:28" ht="18.75" customHeight="1" x14ac:dyDescent="0.3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"/>
      <c r="R295" s="1"/>
      <c r="S295" s="1"/>
      <c r="T295" s="2"/>
      <c r="U295" s="1"/>
      <c r="V295" s="1"/>
      <c r="W295" s="1"/>
      <c r="X295" s="1"/>
      <c r="Y295" s="1"/>
      <c r="Z295" s="1"/>
      <c r="AA295" s="1"/>
      <c r="AB295" s="1"/>
    </row>
    <row r="296" spans="1:28" ht="18.75" customHeight="1" x14ac:dyDescent="0.3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"/>
      <c r="R296" s="1"/>
      <c r="S296" s="1"/>
      <c r="T296" s="2"/>
      <c r="U296" s="1"/>
      <c r="V296" s="1"/>
      <c r="W296" s="1"/>
      <c r="X296" s="1"/>
      <c r="Y296" s="1"/>
      <c r="Z296" s="1"/>
      <c r="AA296" s="1"/>
      <c r="AB296" s="1"/>
    </row>
    <row r="297" spans="1:28" ht="18.75" customHeight="1" x14ac:dyDescent="0.3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"/>
      <c r="R297" s="1"/>
      <c r="S297" s="1"/>
      <c r="T297" s="2"/>
      <c r="U297" s="1"/>
      <c r="V297" s="1"/>
      <c r="W297" s="1"/>
      <c r="X297" s="1"/>
      <c r="Y297" s="1"/>
      <c r="Z297" s="1"/>
      <c r="AA297" s="1"/>
      <c r="AB297" s="1"/>
    </row>
    <row r="298" spans="1:28" ht="18.75" customHeight="1" x14ac:dyDescent="0.3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"/>
      <c r="R298" s="1"/>
      <c r="S298" s="1"/>
      <c r="T298" s="2"/>
      <c r="U298" s="1"/>
      <c r="V298" s="1"/>
      <c r="W298" s="1"/>
      <c r="X298" s="1"/>
      <c r="Y298" s="1"/>
      <c r="Z298" s="1"/>
      <c r="AA298" s="1"/>
      <c r="AB298" s="1"/>
    </row>
    <row r="299" spans="1:28" ht="18.75" customHeight="1" x14ac:dyDescent="0.3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"/>
      <c r="R299" s="1"/>
      <c r="S299" s="1"/>
      <c r="T299" s="2"/>
      <c r="U299" s="1"/>
      <c r="V299" s="1"/>
      <c r="W299" s="1"/>
      <c r="X299" s="1"/>
      <c r="Y299" s="1"/>
      <c r="Z299" s="1"/>
      <c r="AA299" s="1"/>
      <c r="AB299" s="1"/>
    </row>
    <row r="300" spans="1:28" ht="18.75" customHeight="1" x14ac:dyDescent="0.3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"/>
      <c r="R300" s="1"/>
      <c r="S300" s="1"/>
      <c r="T300" s="2"/>
      <c r="U300" s="1"/>
      <c r="V300" s="1"/>
      <c r="W300" s="1"/>
      <c r="X300" s="1"/>
      <c r="Y300" s="1"/>
      <c r="Z300" s="1"/>
      <c r="AA300" s="1"/>
      <c r="AB300" s="1"/>
    </row>
    <row r="301" spans="1:28" ht="18.75" customHeight="1" x14ac:dyDescent="0.3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"/>
      <c r="R301" s="1"/>
      <c r="S301" s="1"/>
      <c r="T301" s="2"/>
      <c r="U301" s="1"/>
      <c r="V301" s="1"/>
      <c r="W301" s="1"/>
      <c r="X301" s="1"/>
      <c r="Y301" s="1"/>
      <c r="Z301" s="1"/>
      <c r="AA301" s="1"/>
      <c r="AB301" s="1"/>
    </row>
    <row r="302" spans="1:28" ht="18.75" customHeight="1" x14ac:dyDescent="0.3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"/>
      <c r="R302" s="1"/>
      <c r="S302" s="1"/>
      <c r="T302" s="2"/>
      <c r="U302" s="1"/>
      <c r="V302" s="1"/>
      <c r="W302" s="1"/>
      <c r="X302" s="1"/>
      <c r="Y302" s="1"/>
      <c r="Z302" s="1"/>
      <c r="AA302" s="1"/>
      <c r="AB302" s="1"/>
    </row>
    <row r="303" spans="1:28" ht="18.75" customHeight="1" x14ac:dyDescent="0.3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"/>
      <c r="R303" s="1"/>
      <c r="S303" s="1"/>
      <c r="T303" s="2"/>
      <c r="U303" s="1"/>
      <c r="V303" s="1"/>
      <c r="W303" s="1"/>
      <c r="X303" s="1"/>
      <c r="Y303" s="1"/>
      <c r="Z303" s="1"/>
      <c r="AA303" s="1"/>
      <c r="AB303" s="1"/>
    </row>
  </sheetData>
  <sheetProtection formatCells="0" selectLockedCells="1" selectUnlockedCells="1"/>
  <autoFilter ref="A8:AB9" xr:uid="{5A8BC556-2601-408C-916F-30606CAAA0D7}">
    <filterColumn colId="7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1" showButton="0"/>
    <filterColumn colId="23" showButton="0"/>
    <filterColumn colId="24" showButton="0"/>
    <filterColumn colId="25" showButton="0"/>
    <filterColumn colId="26" showButton="0"/>
  </autoFilter>
  <mergeCells count="111">
    <mergeCell ref="B63:B77"/>
    <mergeCell ref="D54:D57"/>
    <mergeCell ref="D58:D62"/>
    <mergeCell ref="G63:G77"/>
    <mergeCell ref="V63:V77"/>
    <mergeCell ref="V21:V29"/>
    <mergeCell ref="H22:H24"/>
    <mergeCell ref="H28:H29"/>
    <mergeCell ref="D21:D29"/>
    <mergeCell ref="A97:A107"/>
    <mergeCell ref="B97:B107"/>
    <mergeCell ref="G97:G107"/>
    <mergeCell ref="C21:C29"/>
    <mergeCell ref="E21:E29"/>
    <mergeCell ref="F21:F29"/>
    <mergeCell ref="V78:V83"/>
    <mergeCell ref="H81:H83"/>
    <mergeCell ref="A78:A96"/>
    <mergeCell ref="B78:B96"/>
    <mergeCell ref="G78:G96"/>
    <mergeCell ref="C58:C62"/>
    <mergeCell ref="E58:E62"/>
    <mergeCell ref="F58:F62"/>
    <mergeCell ref="H58:H59"/>
    <mergeCell ref="V58:V62"/>
    <mergeCell ref="D78:D83"/>
    <mergeCell ref="E78:E83"/>
    <mergeCell ref="F78:F83"/>
    <mergeCell ref="H60:H61"/>
    <mergeCell ref="C39:C53"/>
    <mergeCell ref="D39:D53"/>
    <mergeCell ref="E39:E53"/>
    <mergeCell ref="F39:F53"/>
    <mergeCell ref="C63:C77"/>
    <mergeCell ref="H63:H68"/>
    <mergeCell ref="V39:V53"/>
    <mergeCell ref="H45:H46"/>
    <mergeCell ref="B39:B62"/>
    <mergeCell ref="C54:C57"/>
    <mergeCell ref="E54:E57"/>
    <mergeCell ref="F54:F57"/>
    <mergeCell ref="H54:H56"/>
    <mergeCell ref="H39:H44"/>
    <mergeCell ref="H47:H48"/>
    <mergeCell ref="H51:H53"/>
    <mergeCell ref="A1:F6"/>
    <mergeCell ref="G1:U3"/>
    <mergeCell ref="G4:U6"/>
    <mergeCell ref="V1:AB3"/>
    <mergeCell ref="V4:AB6"/>
    <mergeCell ref="C30:C38"/>
    <mergeCell ref="D30:D38"/>
    <mergeCell ref="E30:E38"/>
    <mergeCell ref="F13:F20"/>
    <mergeCell ref="G10:G62"/>
    <mergeCell ref="F30:F38"/>
    <mergeCell ref="H31:H32"/>
    <mergeCell ref="H33:H35"/>
    <mergeCell ref="X8:AB8"/>
    <mergeCell ref="A8:A9"/>
    <mergeCell ref="B8:B9"/>
    <mergeCell ref="C8:C9"/>
    <mergeCell ref="D8:D9"/>
    <mergeCell ref="E8:E9"/>
    <mergeCell ref="F8:F9"/>
    <mergeCell ref="H8:I8"/>
    <mergeCell ref="J8:J9"/>
    <mergeCell ref="K8:M8"/>
    <mergeCell ref="N8:T8"/>
    <mergeCell ref="V8:W8"/>
    <mergeCell ref="G8:G9"/>
    <mergeCell ref="A10:A62"/>
    <mergeCell ref="C13:C20"/>
    <mergeCell ref="E13:E20"/>
    <mergeCell ref="H19:H20"/>
    <mergeCell ref="V13:V20"/>
    <mergeCell ref="H14:H15"/>
    <mergeCell ref="C10:C12"/>
    <mergeCell ref="E10:E12"/>
    <mergeCell ref="V10:V12"/>
    <mergeCell ref="V30:V38"/>
    <mergeCell ref="V54:V57"/>
    <mergeCell ref="V84:V96"/>
    <mergeCell ref="C84:C96"/>
    <mergeCell ref="D84:D96"/>
    <mergeCell ref="E84:E96"/>
    <mergeCell ref="F84:F96"/>
    <mergeCell ref="H84:H87"/>
    <mergeCell ref="H88:H89"/>
    <mergeCell ref="H90:H91"/>
    <mergeCell ref="C78:C83"/>
    <mergeCell ref="E97:E107"/>
    <mergeCell ref="F97:F107"/>
    <mergeCell ref="H78:H79"/>
    <mergeCell ref="B10:B38"/>
    <mergeCell ref="H69:H70"/>
    <mergeCell ref="H71:H72"/>
    <mergeCell ref="H75:H77"/>
    <mergeCell ref="H37:H38"/>
    <mergeCell ref="D10:D20"/>
    <mergeCell ref="F10:F12"/>
    <mergeCell ref="H97:H98"/>
    <mergeCell ref="V97:V107"/>
    <mergeCell ref="H103:H104"/>
    <mergeCell ref="H106:H107"/>
    <mergeCell ref="A63:A77"/>
    <mergeCell ref="D63:D77"/>
    <mergeCell ref="E63:E77"/>
    <mergeCell ref="F63:F77"/>
    <mergeCell ref="C97:C107"/>
    <mergeCell ref="D97:D107"/>
  </mergeCells>
  <conditionalFormatting sqref="Q10:Q20 Q84:Q96">
    <cfRule type="containsText" dxfId="62" priority="190" stopIfTrue="1" operator="containsText" text="B">
      <formula>NOT(ISERROR(SEARCH("B",Q10)))</formula>
    </cfRule>
    <cfRule type="containsText" dxfId="61" priority="191" stopIfTrue="1" operator="containsText" text="B">
      <formula>NOT(ISERROR(SEARCH("B",Q10)))</formula>
    </cfRule>
  </conditionalFormatting>
  <conditionalFormatting sqref="U10:U20 U84:U96">
    <cfRule type="containsText" dxfId="60" priority="189" stopIfTrue="1" operator="containsText" text="ACEPTABLE">
      <formula>NOT(ISERROR(SEARCH("ACEPTABLE",U10)))</formula>
    </cfRule>
  </conditionalFormatting>
  <conditionalFormatting sqref="U10:U20 U84:U96">
    <cfRule type="containsText" dxfId="59" priority="188" stopIfTrue="1" operator="containsText" text="MEJORABLE">
      <formula>NOT(ISERROR(SEARCH("MEJORABLE",U10)))</formula>
    </cfRule>
  </conditionalFormatting>
  <conditionalFormatting sqref="U10:U20 U84:U96">
    <cfRule type="containsText" dxfId="58" priority="187" stopIfTrue="1" operator="containsText" text="ACEPTABLE CON CONTROL ESPECIFICO">
      <formula>NOT(ISERROR(SEARCH("ACEPTABLE CON CONTROL ESPECIFICO",U10)))</formula>
    </cfRule>
  </conditionalFormatting>
  <conditionalFormatting sqref="U10:U20 U84:U96">
    <cfRule type="containsText" dxfId="57" priority="185" stopIfTrue="1" operator="containsText" text="NO ACEPTABLE">
      <formula>NOT(ISERROR(SEARCH("NO ACEPTABLE",U10)))</formula>
    </cfRule>
  </conditionalFormatting>
  <conditionalFormatting sqref="Q10:Q20 Q84:Q96">
    <cfRule type="containsText" dxfId="56" priority="183" stopIfTrue="1" operator="containsText" text="A">
      <formula>NOT(ISERROR(SEARCH("A",Q10)))</formula>
    </cfRule>
  </conditionalFormatting>
  <conditionalFormatting sqref="Q39:Q53">
    <cfRule type="containsText" dxfId="55" priority="90" stopIfTrue="1" operator="containsText" text="B">
      <formula>NOT(ISERROR(SEARCH("B",Q39)))</formula>
    </cfRule>
    <cfRule type="containsText" dxfId="54" priority="91" stopIfTrue="1" operator="containsText" text="B">
      <formula>NOT(ISERROR(SEARCH("B",Q39)))</formula>
    </cfRule>
  </conditionalFormatting>
  <conditionalFormatting sqref="U39:U53">
    <cfRule type="containsText" dxfId="53" priority="89" stopIfTrue="1" operator="containsText" text="ACEPTABLE">
      <formula>NOT(ISERROR(SEARCH("ACEPTABLE",U39)))</formula>
    </cfRule>
  </conditionalFormatting>
  <conditionalFormatting sqref="U39:U53">
    <cfRule type="containsText" dxfId="52" priority="88" stopIfTrue="1" operator="containsText" text="MEJORABLE">
      <formula>NOT(ISERROR(SEARCH("MEJORABLE",U39)))</formula>
    </cfRule>
  </conditionalFormatting>
  <conditionalFormatting sqref="U39:U53">
    <cfRule type="containsText" dxfId="51" priority="87" stopIfTrue="1" operator="containsText" text="ACEPTABLE CON CONTROL ESPECIFICO">
      <formula>NOT(ISERROR(SEARCH("ACEPTABLE CON CONTROL ESPECIFICO",U39)))</formula>
    </cfRule>
  </conditionalFormatting>
  <conditionalFormatting sqref="U39:U53">
    <cfRule type="containsText" dxfId="50" priority="86" stopIfTrue="1" operator="containsText" text="NO ACEPTABLE">
      <formula>NOT(ISERROR(SEARCH("NO ACEPTABLE",U39)))</formula>
    </cfRule>
  </conditionalFormatting>
  <conditionalFormatting sqref="Q39:Q53">
    <cfRule type="containsText" dxfId="49" priority="85" stopIfTrue="1" operator="containsText" text="A">
      <formula>NOT(ISERROR(SEARCH("A",Q39)))</formula>
    </cfRule>
  </conditionalFormatting>
  <conditionalFormatting sqref="Q78:Q83">
    <cfRule type="containsText" dxfId="48" priority="69" stopIfTrue="1" operator="containsText" text="B">
      <formula>NOT(ISERROR(SEARCH("B",Q78)))</formula>
    </cfRule>
    <cfRule type="containsText" dxfId="47" priority="70" stopIfTrue="1" operator="containsText" text="B">
      <formula>NOT(ISERROR(SEARCH("B",Q78)))</formula>
    </cfRule>
  </conditionalFormatting>
  <conditionalFormatting sqref="U78:U83">
    <cfRule type="containsText" dxfId="46" priority="68" stopIfTrue="1" operator="containsText" text="ACEPTABLE">
      <formula>NOT(ISERROR(SEARCH("ACEPTABLE",U78)))</formula>
    </cfRule>
  </conditionalFormatting>
  <conditionalFormatting sqref="U78:U83">
    <cfRule type="containsText" dxfId="45" priority="67" stopIfTrue="1" operator="containsText" text="MEJORABLE">
      <formula>NOT(ISERROR(SEARCH("MEJORABLE",U78)))</formula>
    </cfRule>
  </conditionalFormatting>
  <conditionalFormatting sqref="U78:U83">
    <cfRule type="containsText" dxfId="44" priority="66" stopIfTrue="1" operator="containsText" text="ACEPTABLE CON CONTROL ESPECIFICO">
      <formula>NOT(ISERROR(SEARCH("ACEPTABLE CON CONTROL ESPECIFICO",U78)))</formula>
    </cfRule>
  </conditionalFormatting>
  <conditionalFormatting sqref="U78:U83">
    <cfRule type="containsText" dxfId="43" priority="65" stopIfTrue="1" operator="containsText" text="NO ACEPTABLE">
      <formula>NOT(ISERROR(SEARCH("NO ACEPTABLE",U78)))</formula>
    </cfRule>
  </conditionalFormatting>
  <conditionalFormatting sqref="Q78:Q83">
    <cfRule type="containsText" dxfId="42" priority="64" stopIfTrue="1" operator="containsText" text="A">
      <formula>NOT(ISERROR(SEARCH("A",Q78)))</formula>
    </cfRule>
  </conditionalFormatting>
  <conditionalFormatting sqref="Q58:Q62">
    <cfRule type="containsText" dxfId="41" priority="62" stopIfTrue="1" operator="containsText" text="B">
      <formula>NOT(ISERROR(SEARCH("B",Q58)))</formula>
    </cfRule>
    <cfRule type="containsText" dxfId="40" priority="63" stopIfTrue="1" operator="containsText" text="B">
      <formula>NOT(ISERROR(SEARCH("B",Q58)))</formula>
    </cfRule>
  </conditionalFormatting>
  <conditionalFormatting sqref="U58:U62">
    <cfRule type="containsText" dxfId="39" priority="61" stopIfTrue="1" operator="containsText" text="ACEPTABLE">
      <formula>NOT(ISERROR(SEARCH("ACEPTABLE",U58)))</formula>
    </cfRule>
  </conditionalFormatting>
  <conditionalFormatting sqref="U58:U62">
    <cfRule type="containsText" dxfId="38" priority="60" stopIfTrue="1" operator="containsText" text="MEJORABLE">
      <formula>NOT(ISERROR(SEARCH("MEJORABLE",U58)))</formula>
    </cfRule>
  </conditionalFormatting>
  <conditionalFormatting sqref="U58:U62">
    <cfRule type="containsText" dxfId="37" priority="59" stopIfTrue="1" operator="containsText" text="ACEPTABLE CON CONTROL ESPECIFICO">
      <formula>NOT(ISERROR(SEARCH("ACEPTABLE CON CONTROL ESPECIFICO",U58)))</formula>
    </cfRule>
  </conditionalFormatting>
  <conditionalFormatting sqref="U58:U62">
    <cfRule type="containsText" dxfId="36" priority="58" stopIfTrue="1" operator="containsText" text="NO ACEPTABLE">
      <formula>NOT(ISERROR(SEARCH("NO ACEPTABLE",U58)))</formula>
    </cfRule>
  </conditionalFormatting>
  <conditionalFormatting sqref="Q58:Q62">
    <cfRule type="containsText" dxfId="35" priority="57" stopIfTrue="1" operator="containsText" text="A">
      <formula>NOT(ISERROR(SEARCH("A",Q58)))</formula>
    </cfRule>
  </conditionalFormatting>
  <conditionalFormatting sqref="Q30:Q38">
    <cfRule type="containsText" dxfId="34" priority="55" stopIfTrue="1" operator="containsText" text="B">
      <formula>NOT(ISERROR(SEARCH("B",Q30)))</formula>
    </cfRule>
    <cfRule type="containsText" dxfId="33" priority="56" stopIfTrue="1" operator="containsText" text="B">
      <formula>NOT(ISERROR(SEARCH("B",Q30)))</formula>
    </cfRule>
  </conditionalFormatting>
  <conditionalFormatting sqref="U30:U38">
    <cfRule type="containsText" dxfId="32" priority="54" stopIfTrue="1" operator="containsText" text="ACEPTABLE">
      <formula>NOT(ISERROR(SEARCH("ACEPTABLE",U30)))</formula>
    </cfRule>
  </conditionalFormatting>
  <conditionalFormatting sqref="U30:U38">
    <cfRule type="containsText" dxfId="31" priority="53" stopIfTrue="1" operator="containsText" text="MEJORABLE">
      <formula>NOT(ISERROR(SEARCH("MEJORABLE",U30)))</formula>
    </cfRule>
  </conditionalFormatting>
  <conditionalFormatting sqref="U30:U38">
    <cfRule type="containsText" dxfId="30" priority="52" stopIfTrue="1" operator="containsText" text="ACEPTABLE CON CONTROL ESPECIFICO">
      <formula>NOT(ISERROR(SEARCH("ACEPTABLE CON CONTROL ESPECIFICO",U30)))</formula>
    </cfRule>
  </conditionalFormatting>
  <conditionalFormatting sqref="U30:U38">
    <cfRule type="containsText" dxfId="29" priority="51" stopIfTrue="1" operator="containsText" text="NO ACEPTABLE">
      <formula>NOT(ISERROR(SEARCH("NO ACEPTABLE",U30)))</formula>
    </cfRule>
  </conditionalFormatting>
  <conditionalFormatting sqref="Q30:Q38">
    <cfRule type="containsText" dxfId="28" priority="50" stopIfTrue="1" operator="containsText" text="A">
      <formula>NOT(ISERROR(SEARCH("A",Q30)))</formula>
    </cfRule>
  </conditionalFormatting>
  <conditionalFormatting sqref="Q54:Q57">
    <cfRule type="containsText" dxfId="27" priority="48" stopIfTrue="1" operator="containsText" text="B">
      <formula>NOT(ISERROR(SEARCH("B",Q54)))</formula>
    </cfRule>
    <cfRule type="containsText" dxfId="26" priority="49" stopIfTrue="1" operator="containsText" text="B">
      <formula>NOT(ISERROR(SEARCH("B",Q54)))</formula>
    </cfRule>
  </conditionalFormatting>
  <conditionalFormatting sqref="U54:U57">
    <cfRule type="containsText" dxfId="25" priority="47" stopIfTrue="1" operator="containsText" text="ACEPTABLE">
      <formula>NOT(ISERROR(SEARCH("ACEPTABLE",U54)))</formula>
    </cfRule>
  </conditionalFormatting>
  <conditionalFormatting sqref="U54:U57">
    <cfRule type="containsText" dxfId="24" priority="46" stopIfTrue="1" operator="containsText" text="MEJORABLE">
      <formula>NOT(ISERROR(SEARCH("MEJORABLE",U54)))</formula>
    </cfRule>
  </conditionalFormatting>
  <conditionalFormatting sqref="U54:U57">
    <cfRule type="containsText" dxfId="23" priority="45" stopIfTrue="1" operator="containsText" text="ACEPTABLE CON CONTROL ESPECIFICO">
      <formula>NOT(ISERROR(SEARCH("ACEPTABLE CON CONTROL ESPECIFICO",U54)))</formula>
    </cfRule>
  </conditionalFormatting>
  <conditionalFormatting sqref="U54:U57">
    <cfRule type="containsText" dxfId="22" priority="44" stopIfTrue="1" operator="containsText" text="NO ACEPTABLE">
      <formula>NOT(ISERROR(SEARCH("NO ACEPTABLE",U54)))</formula>
    </cfRule>
  </conditionalFormatting>
  <conditionalFormatting sqref="Q54:Q57">
    <cfRule type="containsText" dxfId="21" priority="43" stopIfTrue="1" operator="containsText" text="A">
      <formula>NOT(ISERROR(SEARCH("A",Q54)))</formula>
    </cfRule>
  </conditionalFormatting>
  <conditionalFormatting sqref="Q97:Q107">
    <cfRule type="containsText" dxfId="20" priority="27" stopIfTrue="1" operator="containsText" text="B">
      <formula>NOT(ISERROR(SEARCH("B",Q97)))</formula>
    </cfRule>
    <cfRule type="containsText" dxfId="19" priority="28" stopIfTrue="1" operator="containsText" text="B">
      <formula>NOT(ISERROR(SEARCH("B",Q97)))</formula>
    </cfRule>
  </conditionalFormatting>
  <conditionalFormatting sqref="U97:U107">
    <cfRule type="containsText" dxfId="18" priority="26" stopIfTrue="1" operator="containsText" text="ACEPTABLE">
      <formula>NOT(ISERROR(SEARCH("ACEPTABLE",U97)))</formula>
    </cfRule>
  </conditionalFormatting>
  <conditionalFormatting sqref="U97:U107">
    <cfRule type="containsText" dxfId="17" priority="25" stopIfTrue="1" operator="containsText" text="MEJORABLE">
      <formula>NOT(ISERROR(SEARCH("MEJORABLE",U97)))</formula>
    </cfRule>
  </conditionalFormatting>
  <conditionalFormatting sqref="U97:U107">
    <cfRule type="containsText" dxfId="16" priority="24" stopIfTrue="1" operator="containsText" text="ACEPTABLE CON CONTROL ESPECIFICO">
      <formula>NOT(ISERROR(SEARCH("ACEPTABLE CON CONTROL ESPECIFICO",U97)))</formula>
    </cfRule>
  </conditionalFormatting>
  <conditionalFormatting sqref="U97:U107">
    <cfRule type="containsText" dxfId="15" priority="23" stopIfTrue="1" operator="containsText" text="NO ACEPTABLE">
      <formula>NOT(ISERROR(SEARCH("NO ACEPTABLE",U97)))</formula>
    </cfRule>
  </conditionalFormatting>
  <conditionalFormatting sqref="Q97:Q107">
    <cfRule type="containsText" dxfId="14" priority="22" stopIfTrue="1" operator="containsText" text="A">
      <formula>NOT(ISERROR(SEARCH("A",Q97)))</formula>
    </cfRule>
  </conditionalFormatting>
  <conditionalFormatting sqref="Q21:Q29">
    <cfRule type="containsText" dxfId="13" priority="20" stopIfTrue="1" operator="containsText" text="B">
      <formula>NOT(ISERROR(SEARCH("B",Q21)))</formula>
    </cfRule>
    <cfRule type="containsText" dxfId="12" priority="21" stopIfTrue="1" operator="containsText" text="B">
      <formula>NOT(ISERROR(SEARCH("B",Q21)))</formula>
    </cfRule>
  </conditionalFormatting>
  <conditionalFormatting sqref="U21:U29">
    <cfRule type="containsText" dxfId="11" priority="19" stopIfTrue="1" operator="containsText" text="ACEPTABLE">
      <formula>NOT(ISERROR(SEARCH("ACEPTABLE",U21)))</formula>
    </cfRule>
  </conditionalFormatting>
  <conditionalFormatting sqref="U21:U29">
    <cfRule type="containsText" dxfId="10" priority="18" stopIfTrue="1" operator="containsText" text="MEJORABLE">
      <formula>NOT(ISERROR(SEARCH("MEJORABLE",U21)))</formula>
    </cfRule>
  </conditionalFormatting>
  <conditionalFormatting sqref="U21:U29">
    <cfRule type="containsText" dxfId="9" priority="17" stopIfTrue="1" operator="containsText" text="ACEPTABLE CON CONTROL ESPECIFICO">
      <formula>NOT(ISERROR(SEARCH("ACEPTABLE CON CONTROL ESPECIFICO",U21)))</formula>
    </cfRule>
  </conditionalFormatting>
  <conditionalFormatting sqref="U21:U29">
    <cfRule type="containsText" dxfId="8" priority="16" stopIfTrue="1" operator="containsText" text="NO ACEPTABLE">
      <formula>NOT(ISERROR(SEARCH("NO ACEPTABLE",U21)))</formula>
    </cfRule>
  </conditionalFormatting>
  <conditionalFormatting sqref="Q21:Q29">
    <cfRule type="containsText" dxfId="7" priority="15" stopIfTrue="1" operator="containsText" text="A">
      <formula>NOT(ISERROR(SEARCH("A",Q21)))</formula>
    </cfRule>
  </conditionalFormatting>
  <conditionalFormatting sqref="Q63:Q77">
    <cfRule type="containsText" dxfId="6" priority="6" stopIfTrue="1" operator="containsText" text="B">
      <formula>NOT(ISERROR(SEARCH("B",Q63)))</formula>
    </cfRule>
    <cfRule type="containsText" dxfId="5" priority="7" stopIfTrue="1" operator="containsText" text="B">
      <formula>NOT(ISERROR(SEARCH("B",Q63)))</formula>
    </cfRule>
  </conditionalFormatting>
  <conditionalFormatting sqref="U63:U77">
    <cfRule type="containsText" dxfId="4" priority="5" stopIfTrue="1" operator="containsText" text="ACEPTABLE">
      <formula>NOT(ISERROR(SEARCH("ACEPTABLE",U63)))</formula>
    </cfRule>
  </conditionalFormatting>
  <conditionalFormatting sqref="U63:U77">
    <cfRule type="containsText" dxfId="3" priority="4" stopIfTrue="1" operator="containsText" text="MEJORABLE">
      <formula>NOT(ISERROR(SEARCH("MEJORABLE",U63)))</formula>
    </cfRule>
  </conditionalFormatting>
  <conditionalFormatting sqref="U63:U77">
    <cfRule type="containsText" dxfId="2" priority="3" stopIfTrue="1" operator="containsText" text="ACEPTABLE CON CONTROL ESPECIFICO">
      <formula>NOT(ISERROR(SEARCH("ACEPTABLE CON CONTROL ESPECIFICO",U63)))</formula>
    </cfRule>
  </conditionalFormatting>
  <conditionalFormatting sqref="U63:U77">
    <cfRule type="containsText" dxfId="1" priority="2" stopIfTrue="1" operator="containsText" text="NO ACEPTABLE">
      <formula>NOT(ISERROR(SEARCH("NO ACEPTABLE",U63)))</formula>
    </cfRule>
  </conditionalFormatting>
  <conditionalFormatting sqref="Q63:Q77">
    <cfRule type="containsText" dxfId="0" priority="1" stopIfTrue="1" operator="containsText" text="A">
      <formula>NOT(ISERROR(SEARCH("A",Q63)))</formula>
    </cfRule>
  </conditionalFormatting>
  <printOptions horizontalCentered="1"/>
  <pageMargins left="3.937007874015748E-2" right="3.937007874015748E-2" top="0.23622047244094491" bottom="0.23622047244094491" header="0.74803149606299213" footer="0.74803149606299213"/>
  <pageSetup paperSize="9" scale="15" fitToWidth="0" fitToHeight="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462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IPERV </vt:lpstr>
      <vt:lpstr>'MATRIZ IPERV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Bustamante</dc:creator>
  <cp:lastModifiedBy>Javier Robles JR</cp:lastModifiedBy>
  <cp:revision>14</cp:revision>
  <cp:lastPrinted>2025-05-19T22:55:29Z</cp:lastPrinted>
  <dcterms:created xsi:type="dcterms:W3CDTF">2022-05-12T08:47:55Z</dcterms:created>
  <dcterms:modified xsi:type="dcterms:W3CDTF">2026-05-09T01:54:50Z</dcterms:modified>
</cp:coreProperties>
</file>