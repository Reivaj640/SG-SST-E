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2. Trabajo\1. SG-SST\2. Temporales Comfa\1. Tempoactiva Est SAS\1. Recursos\1.1.3 Asignación de Recursos\"/>
    </mc:Choice>
  </mc:AlternateContent>
  <xr:revisionPtr revIDLastSave="0" documentId="13_ncr:1_{E8048AD4-BBFB-4D07-8AB6-BEDD51905DB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ESUPUESTO " sheetId="1" r:id="rId1"/>
    <sheet name="Hoja1" sheetId="2" r:id="rId2"/>
  </sheets>
  <definedNames>
    <definedName name="_xlnm.Print_Area" localSheetId="1">Hoja1!$A$1:$R$56</definedName>
    <definedName name="_xlnm.Print_Area" localSheetId="0">'PRESUPUESTO '!$A$1:$R$73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7" i="1"/>
  <c r="D18" i="1"/>
  <c r="D19" i="1"/>
  <c r="D20" i="1"/>
  <c r="D21" i="1"/>
  <c r="D22" i="1"/>
  <c r="D23" i="1"/>
  <c r="D11" i="1"/>
  <c r="D12" i="1"/>
  <c r="D13" i="1"/>
  <c r="D14" i="1"/>
  <c r="D15" i="1"/>
  <c r="D10" i="1"/>
  <c r="F22" i="1"/>
  <c r="F14" i="1"/>
  <c r="F11" i="1"/>
  <c r="F10" i="1"/>
  <c r="F20" i="1"/>
  <c r="F17" i="1"/>
  <c r="F21" i="1"/>
  <c r="F23" i="1"/>
  <c r="E10" i="1"/>
  <c r="E20" i="1"/>
  <c r="R26" i="2" l="1"/>
  <c r="R27" i="2" s="1"/>
  <c r="Q26" i="2"/>
  <c r="Q27" i="2" s="1"/>
  <c r="P26" i="2"/>
  <c r="P27" i="2" s="1"/>
  <c r="O26" i="2"/>
  <c r="O27" i="2" s="1"/>
  <c r="N26" i="2"/>
  <c r="N27" i="2" s="1"/>
  <c r="M26" i="2"/>
  <c r="M27" i="2" s="1"/>
  <c r="L26" i="2"/>
  <c r="L27" i="2" s="1"/>
  <c r="K26" i="2"/>
  <c r="K27" i="2" s="1"/>
  <c r="J26" i="2"/>
  <c r="J27" i="2" s="1"/>
  <c r="I26" i="2"/>
  <c r="I27" i="2" s="1"/>
  <c r="H26" i="2"/>
  <c r="H27" i="2" s="1"/>
  <c r="G26" i="2"/>
  <c r="G27" i="2" s="1"/>
  <c r="D26" i="2"/>
  <c r="D27" i="2" s="1"/>
  <c r="E11" i="2"/>
  <c r="E12" i="2"/>
  <c r="F12" i="2"/>
  <c r="E13" i="2"/>
  <c r="F13" i="2" s="1"/>
  <c r="E14" i="2"/>
  <c r="F14" i="2" s="1"/>
  <c r="E15" i="2"/>
  <c r="F15" i="2" s="1"/>
  <c r="E16" i="2"/>
  <c r="F16" i="2"/>
  <c r="E18" i="2"/>
  <c r="E19" i="2"/>
  <c r="F19" i="2" s="1"/>
  <c r="E22" i="2"/>
  <c r="F22" i="2" s="1"/>
  <c r="E23" i="2"/>
  <c r="F23" i="2"/>
  <c r="E24" i="2"/>
  <c r="E25" i="2"/>
  <c r="F25" i="2" s="1"/>
  <c r="F24" i="2"/>
  <c r="F21" i="2"/>
  <c r="F20" i="2"/>
  <c r="F18" i="2"/>
  <c r="F17" i="2"/>
  <c r="F11" i="2"/>
  <c r="F10" i="2"/>
  <c r="E11" i="1"/>
  <c r="E13" i="1"/>
  <c r="E14" i="1"/>
  <c r="E15" i="1"/>
  <c r="F15" i="1" s="1"/>
  <c r="E18" i="1"/>
  <c r="F18" i="1" s="1"/>
  <c r="E19" i="1"/>
  <c r="F19" i="1" s="1"/>
  <c r="E21" i="1"/>
  <c r="E22" i="1"/>
  <c r="E23" i="1"/>
  <c r="E26" i="2"/>
  <c r="F26" i="2"/>
  <c r="E16" i="1"/>
  <c r="F16" i="1" s="1"/>
  <c r="G24" i="1"/>
  <c r="G25" i="1" s="1"/>
  <c r="J25" i="1"/>
  <c r="J24" i="1"/>
  <c r="H24" i="1"/>
  <c r="H25" i="1" s="1"/>
  <c r="Q25" i="1"/>
  <c r="Q24" i="1"/>
  <c r="K24" i="1"/>
  <c r="K25" i="1" s="1"/>
  <c r="I25" i="1"/>
  <c r="I24" i="1"/>
  <c r="O24" i="1"/>
  <c r="O25" i="1" s="1"/>
  <c r="P24" i="1"/>
  <c r="P25" i="1" s="1"/>
  <c r="D24" i="1"/>
  <c r="D25" i="1" s="1"/>
  <c r="F13" i="1"/>
  <c r="E12" i="1"/>
  <c r="F12" i="1"/>
  <c r="R24" i="1"/>
  <c r="R25" i="1" s="1"/>
  <c r="L24" i="1"/>
  <c r="L25" i="1" s="1"/>
  <c r="M24" i="1"/>
  <c r="M25" i="1" s="1"/>
  <c r="N24" i="1"/>
  <c r="N25" i="1"/>
  <c r="E24" i="1" l="1"/>
  <c r="F24" i="1" s="1"/>
</calcChain>
</file>

<file path=xl/sharedStrings.xml><?xml version="1.0" encoding="utf-8"?>
<sst xmlns="http://schemas.openxmlformats.org/spreadsheetml/2006/main" count="96" uniqueCount="55">
  <si>
    <t>N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</si>
  <si>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</si>
  <si>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</si>
  <si>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</si>
  <si>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</si>
  <si>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</si>
  <si>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</si>
  <si>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</si>
  <si>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</si>
  <si>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</si>
  <si>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</si>
  <si>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</si>
  <si>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DESCRIPCION</t>
  </si>
  <si>
    <t>TOTAL AÑO</t>
  </si>
  <si>
    <t>ANALISIS PRESUPUESTAL</t>
  </si>
  <si>
    <t>EJECUCION PRESUPUESTAL</t>
  </si>
  <si>
    <t>PROCESO DE GESTION INTEGRAL</t>
  </si>
  <si>
    <t xml:space="preserve">PRESUPUESTO SISTEMA DE GESTION INTEGRAL </t>
  </si>
  <si>
    <t>CODIGO: GI-FO-043</t>
  </si>
  <si>
    <t>ASESORIAS SST</t>
  </si>
  <si>
    <t>REV. 01 DICIEMBRE 20 DE 2016</t>
  </si>
  <si>
    <t>ENERO</t>
  </si>
  <si>
    <t>EJECUTADO ACUMULADO</t>
  </si>
  <si>
    <t xml:space="preserve">SISTEMA INTEGRAL DE GESTION DE MEDICINA PREVENTIVA Y DEL TRABAJO </t>
  </si>
  <si>
    <t>Representante Legal</t>
  </si>
  <si>
    <t>Asesor SST</t>
  </si>
  <si>
    <t>% EJE.</t>
  </si>
  <si>
    <t>Compra de Elementos de protección personal</t>
  </si>
  <si>
    <t>Realización de Capacitaciones</t>
  </si>
  <si>
    <t>Auditorias internas y externas</t>
  </si>
  <si>
    <t>Realización de Diagnostico de Riesgo Psicosocial</t>
  </si>
  <si>
    <t>Dezplasamientos Inspecciones de Seguridad no Planeadas</t>
  </si>
  <si>
    <t>Mentenimiento de Equipos, herramientas e infraestructura.</t>
  </si>
  <si>
    <t>Honorarios por los servicios del Profesional de Seguridad y Saldu en el Trabajo</t>
  </si>
  <si>
    <t>Realización de Examenes Medicos de Ingreso, Periodicos, de Retiro, Post Incapacidad y de Alturas.</t>
  </si>
  <si>
    <t>Diagnostico de condiciones de salud del personal</t>
  </si>
  <si>
    <t>Plan de accion Resultante Condiciones de Salud del Personal</t>
  </si>
  <si>
    <t>SISTEMA INTEGRAL DE GESTION  DE SEGURIDAD INDUSTRIAL E HIGIENE INDUSTRIAL</t>
  </si>
  <si>
    <t>Plan de Acciones Mediciones Higienicas.</t>
  </si>
  <si>
    <t>Insumos</t>
  </si>
  <si>
    <t>PAPELERIA SG-SST</t>
  </si>
  <si>
    <t>Respuesta a Emergencias</t>
  </si>
  <si>
    <t>IPC</t>
  </si>
  <si>
    <t>Plan de Acciones Diagnostico de Riesgo Psicosocial</t>
  </si>
  <si>
    <t xml:space="preserve">ANALISIS
</t>
  </si>
  <si>
    <t>Seguridad Vial</t>
  </si>
  <si>
    <t>Examenes Psicosensometricos (Seguridad Vial)</t>
  </si>
  <si>
    <t>Fecha de actualizacion: 05 de Febrero de 2021</t>
  </si>
  <si>
    <t>ASIGNACION PRESUPUESTO ANUAL</t>
  </si>
  <si>
    <t>DETALLE</t>
  </si>
  <si>
    <t>Sistema de Gestión de Seguridad y Salud en el Trabajo</t>
  </si>
  <si>
    <t>Código: ACT-FO-043</t>
  </si>
  <si>
    <t>Presupuesto SG-SST</t>
  </si>
  <si>
    <t>Rev. 02 julio 20 de 2024</t>
  </si>
  <si>
    <t>Fecha de actualizacion: 10 de enero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</si>
</sst>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(&quot;$&quot;\ * #,##0.00_);_(&quot;$&quot;\ * \(#,##0.00\);_(&quot;$&quot;\ * &quot;-&quot;??_);_(@_)"/>
    <numFmt numFmtId="166" formatCode="0.0%"/>
    <numFmt numFmtId="167" formatCode="_(&quot;$&quot;\ * #,##0_);_(&quot;$&quot;\ * \(#,##0\);_(&quot;$&quot;\ 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2" fillId="3" borderId="1" xfId="2" applyFont="1" applyFill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0" xfId="0" applyFont="1" applyAlignment="1">
      <alignment horizontal="right"/>
    </xf>
    <xf numFmtId="14" fontId="0" fillId="0" borderId="0" xfId="0" applyNumberFormat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1" applyFont="1" applyFill="1" applyBorder="1" applyAlignment="1">
      <alignment horizontal="center" vertic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14" xfId="0" applyBorder="1" applyAlignment="1">
      <alignment horizontal="center"/>
    </xf>
    <xf numFmtId="0" fontId="2" fillId="0" borderId="15" xfId="0" applyFont="1" applyBorder="1" applyAlignment="1">
      <alignment horizontal="center"/>
    </xf>
    <xf numFmtId="166" fontId="0" fillId="0" borderId="15" xfId="2" applyNumberFormat="1" applyFont="1" applyBorder="1" applyAlignment="1">
      <alignment horizontal="center"/>
    </xf>
    <xf numFmtId="167" fontId="0" fillId="0" borderId="1" xfId="1" applyNumberFormat="1" applyFont="1" applyFill="1" applyBorder="1" applyAlignment="1">
      <alignment horizontal="center" vertical="center" wrapText="1"/>
    </xf>
    <xf numFmtId="167" fontId="2" fillId="3" borderId="1" xfId="1" applyNumberFormat="1" applyFon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2" fillId="3" borderId="4" xfId="0" applyNumberFormat="1" applyFont="1" applyFill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7" fontId="2" fillId="3" borderId="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2" fillId="0" borderId="0" xfId="0" applyFont="1" applyAlignment="1">
      <alignment horizontal="center"/>
    </xf>
    <xf numFmtId="166" fontId="0" fillId="0" borderId="0" xfId="2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0" fontId="5" fillId="6" borderId="17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167" fontId="0" fillId="0" borderId="17" xfId="1" applyNumberFormat="1" applyFont="1" applyFill="1" applyBorder="1" applyAlignment="1">
      <alignment horizontal="center" vertical="center" wrapText="1"/>
    </xf>
    <xf numFmtId="9" fontId="0" fillId="0" borderId="17" xfId="2" applyFont="1" applyFill="1" applyBorder="1" applyAlignment="1">
      <alignment horizontal="center" vertical="center"/>
    </xf>
    <xf numFmtId="167" fontId="2" fillId="3" borderId="17" xfId="0" applyNumberFormat="1" applyFont="1" applyFill="1" applyBorder="1" applyAlignment="1">
      <alignment horizontal="center"/>
    </xf>
    <xf numFmtId="167" fontId="2" fillId="3" borderId="17" xfId="0" applyNumberFormat="1" applyFont="1" applyFill="1" applyBorder="1" applyAlignment="1">
      <alignment horizontal="center" vertical="center"/>
    </xf>
    <xf numFmtId="9" fontId="2" fillId="3" borderId="17" xfId="2" applyFont="1" applyFill="1" applyBorder="1" applyAlignment="1">
      <alignment horizontal="center"/>
    </xf>
    <xf numFmtId="167" fontId="2" fillId="3" borderId="17" xfId="1" applyNumberFormat="1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17" xfId="0" applyFont="1" applyBorder="1" applyAlignment="1">
      <alignment horizontal="center"/>
    </xf>
    <xf numFmtId="166" fontId="0" fillId="0" borderId="17" xfId="2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7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167" fontId="0" fillId="0" borderId="17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3" fillId="2" borderId="0" xfId="0" applyFont="1" applyFill="1" applyAlignment="1">
      <alignment horizontal="center"/>
    </xf>
    <xf numFmtId="0" fontId="5" fillId="6" borderId="17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PRESUPUESTO 2021</a:t>
            </a:r>
          </a:p>
        </c:rich>
      </c:tx>
      <c:layout>
        <c:manualLayout>
          <c:xMode val="edge"/>
          <c:yMode val="edge"/>
          <c:x val="0.28608333333333336"/>
          <c:y val="1.8532820786528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PROGRAMADO</c:v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Lit>
              <c:ptCount val="1"/>
              <c:pt idx="0">
                <c:v>EJECUCION PRESUPUESTAL</c:v>
              </c:pt>
            </c:strLit>
          </c:cat>
          <c:val>
            <c:numRef>
              <c:f>'PRESUPUESTO '!$D$24</c:f>
              <c:numCache>
                <c:formatCode>_("$"\ * #,##0_);_("$"\ * \(#,##0\);_("$"\ * "-"??_);_(@_)</c:formatCode>
                <c:ptCount val="1"/>
                <c:pt idx="0">
                  <c:v>13407464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1-4A52-AA4A-AE03FF6A3E69}"/>
            </c:ext>
          </c:extLst>
        </c:ser>
        <c:ser>
          <c:idx val="1"/>
          <c:order val="1"/>
          <c:tx>
            <c:v>EJECUTADO</c:v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EJECUCION PRESUPUESTAL</c:v>
              </c:pt>
            </c:strLit>
          </c:cat>
          <c:val>
            <c:numRef>
              <c:f>'PRESUPUESTO '!$E$24</c:f>
              <c:numCache>
                <c:formatCode>_("$"\ * #,##0_);_("$"\ * \(#,##0\);_("$"\ * "-"??_);_(@_)</c:formatCode>
                <c:ptCount val="1"/>
                <c:pt idx="0">
                  <c:v>13407464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01-4A52-AA4A-AE03FF6A3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190828928"/>
        <c:axId val="190830464"/>
        <c:axId val="0"/>
      </c:bar3DChart>
      <c:catAx>
        <c:axId val="190828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830464"/>
        <c:crosses val="autoZero"/>
        <c:auto val="1"/>
        <c:lblAlgn val="ctr"/>
        <c:lblOffset val="100"/>
        <c:noMultiLvlLbl val="0"/>
      </c:catAx>
      <c:valAx>
        <c:axId val="190830464"/>
        <c:scaling>
          <c:orientation val="minMax"/>
        </c:scaling>
        <c:delete val="0"/>
        <c:axPos val="l"/>
        <c:numFmt formatCode="_(&quot;$&quot;\ * #,##0_);_(&quot;$&quot;\ * \(#,##0\);_(&quot;$&quot;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82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EJECUCION MENSUAL DEL PRESUPUESTO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'PRESUPUESTO '!$G$9:$R$9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'PRESUPUESTO '!$G$24:$R$24</c:f>
              <c:numCache>
                <c:formatCode>_("$"\ * #,##0_);_("$"\ * \(#,##0\);_("$"\ * "-"??_);_(@_)</c:formatCode>
                <c:ptCount val="12"/>
                <c:pt idx="0">
                  <c:v>825622</c:v>
                </c:pt>
                <c:pt idx="1">
                  <c:v>825622</c:v>
                </c:pt>
                <c:pt idx="2">
                  <c:v>825622</c:v>
                </c:pt>
                <c:pt idx="3">
                  <c:v>1125622</c:v>
                </c:pt>
                <c:pt idx="4">
                  <c:v>825622</c:v>
                </c:pt>
                <c:pt idx="5">
                  <c:v>1025622</c:v>
                </c:pt>
                <c:pt idx="6">
                  <c:v>925622</c:v>
                </c:pt>
                <c:pt idx="7">
                  <c:v>825622</c:v>
                </c:pt>
                <c:pt idx="8">
                  <c:v>825622</c:v>
                </c:pt>
                <c:pt idx="9">
                  <c:v>1125622</c:v>
                </c:pt>
                <c:pt idx="10">
                  <c:v>3425622</c:v>
                </c:pt>
                <c:pt idx="11">
                  <c:v>825622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79-458B-B0FC-48F0E3D7C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458112"/>
        <c:axId val="190480384"/>
      </c:lineChart>
      <c:catAx>
        <c:axId val="190458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480384"/>
        <c:crosses val="autoZero"/>
        <c:auto val="1"/>
        <c:lblAlgn val="ctr"/>
        <c:lblOffset val="100"/>
        <c:noMultiLvlLbl val="0"/>
      </c:catAx>
      <c:valAx>
        <c:axId val="190480384"/>
        <c:scaling>
          <c:orientation val="minMax"/>
        </c:scaling>
        <c:delete val="0"/>
        <c:axPos val="l"/>
        <c:numFmt formatCode="_(&quot;$&quot;\ * #,##0_);_(&quot;$&quot;\ * \(#,##0\);_(&quot;$&quot;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45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PRESUPUESTO 2021</a:t>
            </a:r>
          </a:p>
        </c:rich>
      </c:tx>
      <c:layout>
        <c:manualLayout>
          <c:xMode val="edge"/>
          <c:yMode val="edge"/>
          <c:x val="0.28608333333333336"/>
          <c:y val="1.8532820786528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PROGRAMADO</c:v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Lit>
              <c:ptCount val="1"/>
              <c:pt idx="0">
                <c:v>EJECUCION PRESUPUESTAL</c:v>
              </c:pt>
            </c:strLit>
          </c:cat>
          <c:val>
            <c:numRef>
              <c:f>'PRESUPUESTO '!$D$24</c:f>
              <c:numCache>
                <c:formatCode>_("$"\ * #,##0_);_("$"\ * \(#,##0\);_("$"\ * "-"??_);_(@_)</c:formatCode>
                <c:ptCount val="1"/>
                <c:pt idx="0">
                  <c:v>13407464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A-437F-9B41-A3E51717A62F}"/>
            </c:ext>
          </c:extLst>
        </c:ser>
        <c:ser>
          <c:idx val="1"/>
          <c:order val="1"/>
          <c:tx>
            <c:v>EJECUTADO</c:v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EJECUCION PRESUPUESTAL</c:v>
              </c:pt>
            </c:strLit>
          </c:cat>
          <c:val>
            <c:numRef>
              <c:f>'PRESUPUESTO '!$E$24</c:f>
              <c:numCache>
                <c:formatCode>_("$"\ * #,##0_);_("$"\ * \(#,##0\);_("$"\ * "-"??_);_(@_)</c:formatCode>
                <c:ptCount val="1"/>
                <c:pt idx="0">
                  <c:v>13407464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FA-437F-9B41-A3E51717A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190828928"/>
        <c:axId val="190830464"/>
        <c:axId val="0"/>
      </c:bar3DChart>
      <c:catAx>
        <c:axId val="190828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830464"/>
        <c:crosses val="autoZero"/>
        <c:auto val="1"/>
        <c:lblAlgn val="ctr"/>
        <c:lblOffset val="100"/>
        <c:noMultiLvlLbl val="0"/>
      </c:catAx>
      <c:valAx>
        <c:axId val="190830464"/>
        <c:scaling>
          <c:orientation val="minMax"/>
        </c:scaling>
        <c:delete val="0"/>
        <c:axPos val="l"/>
        <c:numFmt formatCode="_(&quot;$&quot;\ * #,##0_);_(&quot;$&quot;\ * \(#,##0\);_(&quot;$&quot;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82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EJECUCION MENSUAL DEL PRESUPUESTO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'PRESUPUESTO '!$G$9:$R$9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'PRESUPUESTO '!$G$24:$R$24</c:f>
              <c:numCache>
                <c:formatCode>_("$"\ * #,##0_);_("$"\ * \(#,##0\);_("$"\ * "-"??_);_(@_)</c:formatCode>
                <c:ptCount val="12"/>
                <c:pt idx="0">
                  <c:v>825622</c:v>
                </c:pt>
                <c:pt idx="1">
                  <c:v>825622</c:v>
                </c:pt>
                <c:pt idx="2">
                  <c:v>825622</c:v>
                </c:pt>
                <c:pt idx="3">
                  <c:v>1125622</c:v>
                </c:pt>
                <c:pt idx="4">
                  <c:v>825622</c:v>
                </c:pt>
                <c:pt idx="5">
                  <c:v>1025622</c:v>
                </c:pt>
                <c:pt idx="6">
                  <c:v>925622</c:v>
                </c:pt>
                <c:pt idx="7">
                  <c:v>825622</c:v>
                </c:pt>
                <c:pt idx="8">
                  <c:v>825622</c:v>
                </c:pt>
                <c:pt idx="9">
                  <c:v>1125622</c:v>
                </c:pt>
                <c:pt idx="10">
                  <c:v>3425622</c:v>
                </c:pt>
                <c:pt idx="11">
                  <c:v>825622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3-443F-ADFE-257EE363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458112"/>
        <c:axId val="190480384"/>
      </c:lineChart>
      <c:catAx>
        <c:axId val="190458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480384"/>
        <c:crosses val="autoZero"/>
        <c:auto val="1"/>
        <c:lblAlgn val="ctr"/>
        <c:lblOffset val="100"/>
        <c:noMultiLvlLbl val="0"/>
      </c:catAx>
      <c:valAx>
        <c:axId val="190480384"/>
        <c:scaling>
          <c:orientation val="minMax"/>
        </c:scaling>
        <c:delete val="0"/>
        <c:axPos val="l"/>
        <c:numFmt formatCode="_(&quot;$&quot;\ * #,##0_);_(&quot;$&quot;\ * \(#,##0\);_(&quot;$&quot;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45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PRESUPUESTO 2021</a:t>
            </a:r>
          </a:p>
        </c:rich>
      </c:tx>
      <c:layout>
        <c:manualLayout>
          <c:xMode val="edge"/>
          <c:yMode val="edge"/>
          <c:x val="0.28608333333333336"/>
          <c:y val="1.8532820786528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PROGRAMADO</c:v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Lit>
              <c:ptCount val="1"/>
              <c:pt idx="0">
                <c:v>EJECUCION PRESUPUESTAL</c:v>
              </c:pt>
            </c:strLit>
          </c:cat>
          <c:val>
            <c:numRef>
              <c:f>'PRESUPUESTO '!$D$24</c:f>
              <c:numCache>
                <c:formatCode>_("$"\ * #,##0_);_("$"\ * \(#,##0\);_("$"\ * "-"??_);_(@_)</c:formatCode>
                <c:ptCount val="1"/>
                <c:pt idx="0">
                  <c:v>13407464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C-4283-AD19-C03587C3D91C}"/>
            </c:ext>
          </c:extLst>
        </c:ser>
        <c:ser>
          <c:idx val="1"/>
          <c:order val="1"/>
          <c:tx>
            <c:v>EJECUTADO</c:v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EJECUCION PRESUPUESTAL</c:v>
              </c:pt>
            </c:strLit>
          </c:cat>
          <c:val>
            <c:numRef>
              <c:f>'PRESUPUESTO '!$E$24</c:f>
              <c:numCache>
                <c:formatCode>_("$"\ * #,##0_);_("$"\ * \(#,##0\);_("$"\ * "-"??_);_(@_)</c:formatCode>
                <c:ptCount val="1"/>
                <c:pt idx="0">
                  <c:v>13407464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4C-4283-AD19-C03587C3D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190828928"/>
        <c:axId val="190830464"/>
        <c:axId val="0"/>
      </c:bar3DChart>
      <c:catAx>
        <c:axId val="190828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830464"/>
        <c:crosses val="autoZero"/>
        <c:auto val="1"/>
        <c:lblAlgn val="ctr"/>
        <c:lblOffset val="100"/>
        <c:noMultiLvlLbl val="0"/>
      </c:catAx>
      <c:valAx>
        <c:axId val="190830464"/>
        <c:scaling>
          <c:orientation val="minMax"/>
        </c:scaling>
        <c:delete val="0"/>
        <c:axPos val="l"/>
        <c:numFmt formatCode="_(&quot;$&quot;\ * #,##0_);_(&quot;$&quot;\ * \(#,##0\);_(&quot;$&quot;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82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EJECUCION MENSUAL DEL PRESUPUESTO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'PRESUPUESTO '!$G$9:$R$9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'PRESUPUESTO '!$G$24:$R$24</c:f>
              <c:numCache>
                <c:formatCode>_("$"\ * #,##0_);_("$"\ * \(#,##0\);_("$"\ * "-"??_);_(@_)</c:formatCode>
                <c:ptCount val="12"/>
                <c:pt idx="0">
                  <c:v>825622</c:v>
                </c:pt>
                <c:pt idx="1">
                  <c:v>825622</c:v>
                </c:pt>
                <c:pt idx="2">
                  <c:v>825622</c:v>
                </c:pt>
                <c:pt idx="3">
                  <c:v>1125622</c:v>
                </c:pt>
                <c:pt idx="4">
                  <c:v>825622</c:v>
                </c:pt>
                <c:pt idx="5">
                  <c:v>1025622</c:v>
                </c:pt>
                <c:pt idx="6">
                  <c:v>925622</c:v>
                </c:pt>
                <c:pt idx="7">
                  <c:v>825622</c:v>
                </c:pt>
                <c:pt idx="8">
                  <c:v>825622</c:v>
                </c:pt>
                <c:pt idx="9">
                  <c:v>1125622</c:v>
                </c:pt>
                <c:pt idx="10">
                  <c:v>3425622</c:v>
                </c:pt>
                <c:pt idx="11">
                  <c:v>825622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1A-4041-993B-5AECB3DB6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458112"/>
        <c:axId val="190480384"/>
      </c:lineChart>
      <c:catAx>
        <c:axId val="190458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480384"/>
        <c:crosses val="autoZero"/>
        <c:auto val="1"/>
        <c:lblAlgn val="ctr"/>
        <c:lblOffset val="100"/>
        <c:noMultiLvlLbl val="0"/>
      </c:catAx>
      <c:valAx>
        <c:axId val="190480384"/>
        <c:scaling>
          <c:orientation val="minMax"/>
        </c:scaling>
        <c:delete val="0"/>
        <c:axPos val="l"/>
        <c:numFmt formatCode="_(&quot;$&quot;\ * #,##0_);_(&quot;$&quot;\ * \(#,##0\);_(&quot;$&quot;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45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105833</xdr:colOff>
      <xdr:row>48</xdr:row>
      <xdr:rowOff>52917</xdr:rowOff>
    </xdr:from>
    <xdr:to>
      <xdr:col>4</xdr:col>
      <xdr:colOff>857250</xdr:colOff>
      <xdr:row>64</xdr:row>
      <xdr:rowOff>52917</xdr:rowOff>
    </xdr:to>
    <xdr:graphicFrame macro="">
      <xdr:nvGraphicFramePr>
        <xdr:cNvPr id="10" name="9 Gráfic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1031874</xdr:colOff>
      <xdr:row>48</xdr:row>
      <xdr:rowOff>63501</xdr:rowOff>
    </xdr:from>
    <xdr:to>
      <xdr:col>10</xdr:col>
      <xdr:colOff>873124</xdr:colOff>
      <xdr:row>64</xdr:row>
      <xdr:rowOff>52917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261937</xdr:colOff>
      <xdr:row>0</xdr:row>
      <xdr:rowOff>71437</xdr:rowOff>
    </xdr:from>
    <xdr:to>
      <xdr:col>1</xdr:col>
      <xdr:colOff>1571625</xdr:colOff>
      <xdr:row>3</xdr:row>
      <xdr:rowOff>143682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71437"/>
          <a:ext cx="1309688" cy="643745"/>
        </a:xfrm>
        <a:prstGeom prst="rect">
          <a:avLst/>
        </a:prstGeom>
      </xdr:spPr>
    </xdr:pic>
    <xdr:clientData/>
  </xdr:twoCellAnchor>
  <xdr:twoCellAnchor editAs="oneCell">
    <xdr:from>
      <xdr:col>0</xdr:col>
      <xdr:colOff>269875</xdr:colOff>
      <xdr:row>25</xdr:row>
      <xdr:rowOff>15875</xdr:rowOff>
    </xdr:from>
    <xdr:to>
      <xdr:col>2</xdr:col>
      <xdr:colOff>825500</xdr:colOff>
      <xdr:row>76</xdr:row>
      <xdr:rowOff>75712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4050587-EFF0-CEB7-971F-8B6EE19DA2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alphaModFix amt="3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03" t="10661" r="7884" b="14072"/>
        <a:stretch>
          <a:fillRect/>
        </a:stretch>
      </xdr:blipFill>
      <xdr:spPr>
        <a:xfrm>
          <a:off x="269875" y="13779500"/>
          <a:ext cx="2460625" cy="2155337"/>
        </a:xfrm>
        <a:prstGeom prst="rect">
          <a:avLst/>
        </a:prstGeom>
      </xdr:spPr>
    </xdr:pic>
    <xdr:clientData/>
  </xdr:twoCellAnchor>
  <xdr:twoCellAnchor editAs="oneCell">
    <xdr:from>
      <xdr:col>3</xdr:col>
      <xdr:colOff>1079500</xdr:colOff>
      <xdr:row>24</xdr:row>
      <xdr:rowOff>127000</xdr:rowOff>
    </xdr:from>
    <xdr:to>
      <xdr:col>6</xdr:col>
      <xdr:colOff>111125</xdr:colOff>
      <xdr:row>75</xdr:row>
      <xdr:rowOff>186837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31691A-A568-410B-8068-D3440F5ECF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alphaModFix amt="3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03" t="10661" r="7884" b="14072"/>
        <a:stretch>
          <a:fillRect/>
        </a:stretch>
      </xdr:blipFill>
      <xdr:spPr>
        <a:xfrm>
          <a:off x="5000625" y="13700125"/>
          <a:ext cx="2460625" cy="21553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105833</xdr:colOff>
      <xdr:row>31</xdr:row>
      <xdr:rowOff>52917</xdr:rowOff>
    </xdr:from>
    <xdr:to>
      <xdr:col>4</xdr:col>
      <xdr:colOff>857250</xdr:colOff>
      <xdr:row>47</xdr:row>
      <xdr:rowOff>52917</xdr:rowOff>
    </xdr:to>
    <xdr:graphicFrame macro="">
      <xdr:nvGraphicFramePr>
        <xdr:cNvPr id="2" name="9 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1031874</xdr:colOff>
      <xdr:row>31</xdr:row>
      <xdr:rowOff>63501</xdr:rowOff>
    </xdr:from>
    <xdr:to>
      <xdr:col>10</xdr:col>
      <xdr:colOff>873124</xdr:colOff>
      <xdr:row>47</xdr:row>
      <xdr:rowOff>52917</xdr:rowOff>
    </xdr:to>
    <xdr:graphicFrame macro="">
      <xdr:nvGraphicFramePr>
        <xdr:cNvPr id="3" name="3 Gráfic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261937</xdr:colOff>
      <xdr:row>0</xdr:row>
      <xdr:rowOff>71437</xdr:rowOff>
    </xdr:from>
    <xdr:to>
      <xdr:col>1</xdr:col>
      <xdr:colOff>1571625</xdr:colOff>
      <xdr:row>3</xdr:row>
      <xdr:rowOff>143682</xdr:rowOff>
    </xdr:to>
    <xdr:pic>
      <xdr:nvPicPr>
        <xdr:cNvPr id="4" name="1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" y="71437"/>
          <a:ext cx="1309688" cy="643745"/>
        </a:xfrm>
        <a:prstGeom prst="rect">
          <a:avLst/>
        </a:prstGeom>
      </xdr:spPr>
    </xdr:pic>
    <xdr:clientData/>
  </xdr:twoCellAnchor>
  <xdr:twoCellAnchor>
    <xdr:from>
      <xdr:col>1</xdr:col>
      <xdr:colOff>105833</xdr:colOff>
      <xdr:row>31</xdr:row>
      <xdr:rowOff>52917</xdr:rowOff>
    </xdr:from>
    <xdr:to>
      <xdr:col>4</xdr:col>
      <xdr:colOff>857250</xdr:colOff>
      <xdr:row>47</xdr:row>
      <xdr:rowOff>52917</xdr:rowOff>
    </xdr:to>
    <xdr:graphicFrame macro="">
      <xdr:nvGraphicFramePr>
        <xdr:cNvPr id="5" name="9 Gráfic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1031874</xdr:colOff>
      <xdr:row>31</xdr:row>
      <xdr:rowOff>63501</xdr:rowOff>
    </xdr:from>
    <xdr:to>
      <xdr:col>10</xdr:col>
      <xdr:colOff>873124</xdr:colOff>
      <xdr:row>47</xdr:row>
      <xdr:rowOff>52917</xdr:rowOff>
    </xdr:to>
    <xdr:graphicFrame macro="">
      <xdr:nvGraphicFramePr>
        <xdr:cNvPr id="6" name="3 Gráfic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261937</xdr:colOff>
      <xdr:row>0</xdr:row>
      <xdr:rowOff>71437</xdr:rowOff>
    </xdr:from>
    <xdr:to>
      <xdr:col>1</xdr:col>
      <xdr:colOff>1571625</xdr:colOff>
      <xdr:row>3</xdr:row>
      <xdr:rowOff>143682</xdr:rowOff>
    </xdr:to>
    <xdr:pic>
      <xdr:nvPicPr>
        <xdr:cNvPr id="7" name="1 Imagen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" y="71437"/>
          <a:ext cx="1309688" cy="643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1"/>
  <sheetViews>
    <sheetView showGridLines="0" tabSelected="1" zoomScale="60" zoomScaleNormal="60" workbookViewId="0">
      <pane xSplit="2" ySplit="9" topLeftCell="C15" activePane="bottomRight" state="frozen"/>
      <selection pane="topRight" activeCell="C1" sqref="C1"/>
      <selection pane="bottomLeft" activeCell="A10" sqref="A10"/>
      <selection pane="bottomRight" activeCell="N19" sqref="N19"/>
    </sheetView>
  </sheetViews>
  <sheetFormatPr baseColWidth="10" defaultColWidth="11.42578125" defaultRowHeight="15" x14ac:dyDescent="0.25"/>
  <cols>
    <col min="1" max="1" width="4.5703125" style="1" customWidth="1"/>
    <col min="2" max="2" width="24" style="1" customWidth="1"/>
    <col min="3" max="3" width="25.85546875" style="1" customWidth="1"/>
    <col min="4" max="4" width="20.7109375" style="1" customWidth="1"/>
    <col min="5" max="5" width="18.140625" style="2" customWidth="1"/>
    <col min="6" max="6" width="12.5703125" style="1" customWidth="1"/>
    <col min="7" max="18" width="16.7109375" style="1" customWidth="1"/>
    <col min="19" max="16384" width="11.42578125" style="1"/>
  </cols>
  <sheetData>
    <row r="1" spans="1:18" ht="15" customHeight="1" x14ac:dyDescent="0.25">
      <c r="A1" s="54"/>
      <c r="B1" s="54"/>
      <c r="C1" s="54"/>
      <c r="D1" s="54"/>
      <c r="E1" s="54"/>
      <c r="F1" s="55" t="s">
        <v>50</v>
      </c>
      <c r="G1" s="55"/>
      <c r="H1" s="55"/>
      <c r="I1" s="55"/>
      <c r="J1" s="55"/>
      <c r="K1" s="55"/>
      <c r="L1" s="55" t="s">
        <v>51</v>
      </c>
      <c r="M1" s="55"/>
      <c r="N1" s="55"/>
      <c r="O1" s="55"/>
      <c r="P1" s="55"/>
      <c r="Q1" s="55"/>
      <c r="R1" s="55"/>
    </row>
    <row r="2" spans="1:18" ht="15" customHeight="1" x14ac:dyDescent="0.25">
      <c r="A2" s="54"/>
      <c r="B2" s="54"/>
      <c r="C2" s="54"/>
      <c r="D2" s="54"/>
      <c r="E2" s="54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</row>
    <row r="3" spans="1:18" ht="15" customHeight="1" x14ac:dyDescent="0.25">
      <c r="A3" s="54"/>
      <c r="B3" s="54"/>
      <c r="C3" s="54"/>
      <c r="D3" s="54"/>
      <c r="E3" s="54"/>
      <c r="F3" s="55" t="s">
        <v>52</v>
      </c>
      <c r="G3" s="55"/>
      <c r="H3" s="55"/>
      <c r="I3" s="55"/>
      <c r="J3" s="55"/>
      <c r="K3" s="55"/>
      <c r="L3" s="55" t="s">
        <v>53</v>
      </c>
      <c r="M3" s="55"/>
      <c r="N3" s="55"/>
      <c r="O3" s="55"/>
      <c r="P3" s="55"/>
      <c r="Q3" s="55"/>
      <c r="R3" s="55"/>
    </row>
    <row r="4" spans="1:18" ht="15.95" customHeight="1" x14ac:dyDescent="0.25">
      <c r="A4" s="54"/>
      <c r="B4" s="54"/>
      <c r="C4" s="54"/>
      <c r="D4" s="54"/>
      <c r="E4" s="54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</row>
    <row r="5" spans="1:18" ht="12" customHeight="1" x14ac:dyDescent="0.25">
      <c r="O5" s="6"/>
      <c r="P5" s="6"/>
      <c r="Q5" s="6"/>
      <c r="R5" s="6"/>
    </row>
    <row r="6" spans="1:18" ht="12" customHeight="1" x14ac:dyDescent="0.25">
      <c r="A6" s="12" t="s">
        <v>54</v>
      </c>
      <c r="B6" s="12"/>
      <c r="C6" s="12"/>
      <c r="D6" s="7"/>
      <c r="O6" s="6"/>
      <c r="P6" s="6"/>
      <c r="Q6" s="6"/>
      <c r="R6" s="6"/>
    </row>
    <row r="7" spans="1:18" ht="12" customHeight="1" x14ac:dyDescent="0.25">
      <c r="H7" s="17"/>
      <c r="O7" s="6"/>
      <c r="P7" s="6"/>
      <c r="Q7" s="6"/>
      <c r="R7" s="6"/>
    </row>
    <row r="8" spans="1:18" s="2" customFormat="1" ht="27.75" customHeight="1" x14ac:dyDescent="0.25">
      <c r="A8" s="57" t="s">
        <v>0</v>
      </c>
      <c r="B8" s="57" t="s">
        <v>12</v>
      </c>
      <c r="C8" s="57" t="s">
        <v>49</v>
      </c>
      <c r="D8" s="68" t="s">
        <v>48</v>
      </c>
      <c r="E8" s="68" t="s">
        <v>22</v>
      </c>
      <c r="F8" s="68" t="s">
        <v>26</v>
      </c>
      <c r="G8" s="56" t="s">
        <v>15</v>
      </c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</row>
    <row r="9" spans="1:18" s="2" customFormat="1" ht="35.25" customHeight="1" x14ac:dyDescent="0.25">
      <c r="A9" s="57"/>
      <c r="B9" s="57"/>
      <c r="C9" s="57"/>
      <c r="D9" s="57"/>
      <c r="E9" s="68"/>
      <c r="F9" s="68"/>
      <c r="G9" s="36" t="s">
        <v>21</v>
      </c>
      <c r="H9" s="35" t="s">
        <v>1</v>
      </c>
      <c r="I9" s="35" t="s">
        <v>2</v>
      </c>
      <c r="J9" s="35" t="s">
        <v>3</v>
      </c>
      <c r="K9" s="35" t="s">
        <v>4</v>
      </c>
      <c r="L9" s="35" t="s">
        <v>5</v>
      </c>
      <c r="M9" s="35" t="s">
        <v>6</v>
      </c>
      <c r="N9" s="35" t="s">
        <v>7</v>
      </c>
      <c r="O9" s="35" t="s">
        <v>8</v>
      </c>
      <c r="P9" s="35" t="s">
        <v>9</v>
      </c>
      <c r="Q9" s="35" t="s">
        <v>10</v>
      </c>
      <c r="R9" s="35" t="s">
        <v>11</v>
      </c>
    </row>
    <row r="10" spans="1:18" s="2" customFormat="1" ht="63" customHeight="1" x14ac:dyDescent="0.25">
      <c r="A10" s="37">
        <v>1</v>
      </c>
      <c r="B10" s="38" t="s">
        <v>19</v>
      </c>
      <c r="C10" s="39" t="s">
        <v>33</v>
      </c>
      <c r="D10" s="40">
        <f>SUM(G10:R10)</f>
        <v>9427464</v>
      </c>
      <c r="E10" s="40">
        <f>SUM(G10:R10)</f>
        <v>9427464</v>
      </c>
      <c r="F10" s="41">
        <f>IFERROR(E10/D10,"0%")</f>
        <v>1</v>
      </c>
      <c r="G10" s="53">
        <v>785622</v>
      </c>
      <c r="H10" s="53">
        <v>785622</v>
      </c>
      <c r="I10" s="53">
        <v>785622</v>
      </c>
      <c r="J10" s="53">
        <v>785622</v>
      </c>
      <c r="K10" s="53">
        <v>785622</v>
      </c>
      <c r="L10" s="53">
        <v>785622</v>
      </c>
      <c r="M10" s="53">
        <v>785622</v>
      </c>
      <c r="N10" s="53">
        <v>785622</v>
      </c>
      <c r="O10" s="53">
        <v>785622</v>
      </c>
      <c r="P10" s="53">
        <v>785622</v>
      </c>
      <c r="Q10" s="53">
        <v>785622</v>
      </c>
      <c r="R10" s="53">
        <v>785622</v>
      </c>
    </row>
    <row r="11" spans="1:18" s="2" customFormat="1" ht="63" customHeight="1" x14ac:dyDescent="0.25">
      <c r="A11" s="80">
        <v>2</v>
      </c>
      <c r="B11" s="83" t="s">
        <v>37</v>
      </c>
      <c r="C11" s="39" t="s">
        <v>27</v>
      </c>
      <c r="D11" s="40">
        <f t="shared" ref="D11:D23" si="0">SUM(G11:R11)</f>
        <v>100000</v>
      </c>
      <c r="E11" s="40">
        <f t="shared" ref="E11:E23" si="1">SUM(G11:R11)</f>
        <v>100000</v>
      </c>
      <c r="F11" s="41">
        <f t="shared" ref="F11:F15" si="2">IFERROR(E11/D11,"0%")</f>
        <v>1</v>
      </c>
      <c r="G11" s="53">
        <v>0</v>
      </c>
      <c r="H11" s="53">
        <v>0</v>
      </c>
      <c r="I11" s="53">
        <v>0</v>
      </c>
      <c r="J11" s="53">
        <v>0</v>
      </c>
      <c r="K11" s="53">
        <v>0</v>
      </c>
      <c r="L11" s="53">
        <v>100000</v>
      </c>
      <c r="M11" s="53">
        <v>0</v>
      </c>
      <c r="N11" s="53">
        <v>0</v>
      </c>
      <c r="O11" s="53">
        <v>0</v>
      </c>
      <c r="P11" s="53">
        <v>0</v>
      </c>
      <c r="Q11" s="53">
        <v>0</v>
      </c>
      <c r="R11" s="53">
        <v>0</v>
      </c>
    </row>
    <row r="12" spans="1:18" s="2" customFormat="1" ht="63" customHeight="1" x14ac:dyDescent="0.25">
      <c r="A12" s="81"/>
      <c r="B12" s="84"/>
      <c r="C12" s="39" t="s">
        <v>28</v>
      </c>
      <c r="D12" s="40">
        <f t="shared" si="0"/>
        <v>240000</v>
      </c>
      <c r="E12" s="40">
        <f>SUM(G12:R12)</f>
        <v>240000</v>
      </c>
      <c r="F12" s="41">
        <f t="shared" si="2"/>
        <v>1</v>
      </c>
      <c r="G12" s="53">
        <v>20000</v>
      </c>
      <c r="H12" s="53">
        <v>20000</v>
      </c>
      <c r="I12" s="53">
        <v>20000</v>
      </c>
      <c r="J12" s="53">
        <v>20000</v>
      </c>
      <c r="K12" s="53">
        <v>20000</v>
      </c>
      <c r="L12" s="53">
        <v>20000</v>
      </c>
      <c r="M12" s="53">
        <v>20000</v>
      </c>
      <c r="N12" s="53">
        <v>20000</v>
      </c>
      <c r="O12" s="53">
        <v>20000</v>
      </c>
      <c r="P12" s="53">
        <v>20000</v>
      </c>
      <c r="Q12" s="53">
        <v>20000</v>
      </c>
      <c r="R12" s="53">
        <v>20000</v>
      </c>
    </row>
    <row r="13" spans="1:18" s="2" customFormat="1" ht="63" customHeight="1" x14ac:dyDescent="0.25">
      <c r="A13" s="81"/>
      <c r="B13" s="84"/>
      <c r="C13" s="39" t="s">
        <v>29</v>
      </c>
      <c r="D13" s="40">
        <f t="shared" si="0"/>
        <v>2500000</v>
      </c>
      <c r="E13" s="40">
        <f t="shared" si="1"/>
        <v>2500000</v>
      </c>
      <c r="F13" s="41">
        <f t="shared" si="2"/>
        <v>1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0</v>
      </c>
      <c r="P13" s="53">
        <v>0</v>
      </c>
      <c r="Q13" s="53">
        <v>2500000</v>
      </c>
      <c r="R13" s="53">
        <v>0</v>
      </c>
    </row>
    <row r="14" spans="1:18" s="2" customFormat="1" ht="63" customHeight="1" x14ac:dyDescent="0.25">
      <c r="A14" s="81"/>
      <c r="B14" s="84"/>
      <c r="C14" s="39" t="s">
        <v>30</v>
      </c>
      <c r="D14" s="40">
        <f t="shared" si="0"/>
        <v>0</v>
      </c>
      <c r="E14" s="40">
        <f t="shared" si="1"/>
        <v>0</v>
      </c>
      <c r="F14" s="41" t="str">
        <f t="shared" si="2"/>
        <v>0%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0</v>
      </c>
      <c r="P14" s="53">
        <v>0</v>
      </c>
      <c r="Q14" s="53">
        <v>0</v>
      </c>
      <c r="R14" s="53">
        <v>0</v>
      </c>
    </row>
    <row r="15" spans="1:18" s="2" customFormat="1" ht="63" customHeight="1" x14ac:dyDescent="0.25">
      <c r="A15" s="81"/>
      <c r="B15" s="84"/>
      <c r="C15" s="39" t="s">
        <v>43</v>
      </c>
      <c r="D15" s="40">
        <f t="shared" si="0"/>
        <v>600000</v>
      </c>
      <c r="E15" s="40">
        <f t="shared" si="1"/>
        <v>600000</v>
      </c>
      <c r="F15" s="41">
        <f t="shared" si="2"/>
        <v>1</v>
      </c>
      <c r="G15" s="53">
        <v>0</v>
      </c>
      <c r="H15" s="53">
        <v>0</v>
      </c>
      <c r="I15" s="53">
        <v>0</v>
      </c>
      <c r="J15" s="53">
        <v>300000</v>
      </c>
      <c r="K15" s="53">
        <v>0</v>
      </c>
      <c r="L15" s="53">
        <v>0</v>
      </c>
      <c r="M15" s="53">
        <v>0</v>
      </c>
      <c r="N15" s="53">
        <v>0</v>
      </c>
      <c r="O15" s="53">
        <v>0</v>
      </c>
      <c r="P15" s="53">
        <v>300000</v>
      </c>
      <c r="Q15" s="53">
        <v>0</v>
      </c>
      <c r="R15" s="53">
        <v>0</v>
      </c>
    </row>
    <row r="16" spans="1:18" s="2" customFormat="1" ht="63" customHeight="1" x14ac:dyDescent="0.25">
      <c r="A16" s="81"/>
      <c r="B16" s="84"/>
      <c r="C16" s="39" t="s">
        <v>31</v>
      </c>
      <c r="D16" s="40">
        <f t="shared" si="0"/>
        <v>240000</v>
      </c>
      <c r="E16" s="40">
        <f>SUM(G16:R16)</f>
        <v>240000</v>
      </c>
      <c r="F16" s="41">
        <f>IFERROR(E16/D16,"0%")</f>
        <v>1</v>
      </c>
      <c r="G16" s="53">
        <v>20000</v>
      </c>
      <c r="H16" s="53">
        <v>20000</v>
      </c>
      <c r="I16" s="53">
        <v>20000</v>
      </c>
      <c r="J16" s="53">
        <v>20000</v>
      </c>
      <c r="K16" s="53">
        <v>20000</v>
      </c>
      <c r="L16" s="53">
        <v>20000</v>
      </c>
      <c r="M16" s="53">
        <v>20000</v>
      </c>
      <c r="N16" s="53">
        <v>20000</v>
      </c>
      <c r="O16" s="53">
        <v>20000</v>
      </c>
      <c r="P16" s="53">
        <v>20000</v>
      </c>
      <c r="Q16" s="53">
        <v>20000</v>
      </c>
      <c r="R16" s="53">
        <v>20000</v>
      </c>
    </row>
    <row r="17" spans="1:18" s="2" customFormat="1" ht="63" customHeight="1" x14ac:dyDescent="0.25">
      <c r="A17" s="81"/>
      <c r="B17" s="84"/>
      <c r="C17" s="39" t="s">
        <v>32</v>
      </c>
      <c r="D17" s="40">
        <f t="shared" si="0"/>
        <v>0</v>
      </c>
      <c r="E17" s="40">
        <v>0</v>
      </c>
      <c r="F17" s="41" t="str">
        <f t="shared" ref="F17:F23" si="3">IFERROR(E17/D17,"0%")</f>
        <v>0%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0</v>
      </c>
      <c r="P17" s="53">
        <v>0</v>
      </c>
      <c r="Q17" s="53">
        <v>0</v>
      </c>
      <c r="R17" s="53">
        <v>0</v>
      </c>
    </row>
    <row r="18" spans="1:18" s="2" customFormat="1" ht="63" customHeight="1" x14ac:dyDescent="0.25">
      <c r="A18" s="81"/>
      <c r="B18" s="84"/>
      <c r="C18" s="39" t="s">
        <v>38</v>
      </c>
      <c r="D18" s="40">
        <f t="shared" si="0"/>
        <v>200000</v>
      </c>
      <c r="E18" s="40">
        <f t="shared" si="1"/>
        <v>200000</v>
      </c>
      <c r="F18" s="41">
        <f t="shared" si="3"/>
        <v>1</v>
      </c>
      <c r="G18" s="53"/>
      <c r="H18" s="53">
        <v>0</v>
      </c>
      <c r="I18" s="53">
        <v>0</v>
      </c>
      <c r="J18" s="53">
        <v>0</v>
      </c>
      <c r="K18" s="53">
        <v>0</v>
      </c>
      <c r="L18" s="53">
        <v>100000</v>
      </c>
      <c r="M18" s="53">
        <v>0</v>
      </c>
      <c r="N18" s="53">
        <v>0</v>
      </c>
      <c r="O18" s="53">
        <v>0</v>
      </c>
      <c r="P18" s="53">
        <v>0</v>
      </c>
      <c r="Q18" s="53">
        <v>100000</v>
      </c>
      <c r="R18" s="53">
        <v>0</v>
      </c>
    </row>
    <row r="19" spans="1:18" s="2" customFormat="1" ht="63" customHeight="1" x14ac:dyDescent="0.25">
      <c r="A19" s="81"/>
      <c r="B19" s="84"/>
      <c r="C19" s="39" t="s">
        <v>41</v>
      </c>
      <c r="D19" s="40">
        <f t="shared" si="0"/>
        <v>100000</v>
      </c>
      <c r="E19" s="40">
        <f t="shared" si="1"/>
        <v>100000</v>
      </c>
      <c r="F19" s="41">
        <f t="shared" si="3"/>
        <v>1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100000</v>
      </c>
      <c r="N19" s="53">
        <v>0</v>
      </c>
      <c r="O19" s="53">
        <v>0</v>
      </c>
      <c r="P19" s="53">
        <v>0</v>
      </c>
      <c r="Q19" s="53">
        <v>0</v>
      </c>
      <c r="R19" s="53">
        <v>0</v>
      </c>
    </row>
    <row r="20" spans="1:18" s="2" customFormat="1" ht="79.5" customHeight="1" x14ac:dyDescent="0.25">
      <c r="A20" s="81"/>
      <c r="B20" s="84"/>
      <c r="C20" s="39" t="s">
        <v>34</v>
      </c>
      <c r="D20" s="40">
        <f t="shared" si="0"/>
        <v>0</v>
      </c>
      <c r="E20" s="40">
        <f t="shared" si="1"/>
        <v>0</v>
      </c>
      <c r="F20" s="41" t="str">
        <f t="shared" si="3"/>
        <v>0%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</row>
    <row r="21" spans="1:18" s="2" customFormat="1" ht="63" customHeight="1" x14ac:dyDescent="0.25">
      <c r="A21" s="81"/>
      <c r="B21" s="84"/>
      <c r="C21" s="39" t="s">
        <v>35</v>
      </c>
      <c r="D21" s="40">
        <f t="shared" si="0"/>
        <v>0</v>
      </c>
      <c r="E21" s="40">
        <f t="shared" si="1"/>
        <v>0</v>
      </c>
      <c r="F21" s="41" t="str">
        <f t="shared" si="3"/>
        <v>0%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</row>
    <row r="22" spans="1:18" s="2" customFormat="1" ht="63" customHeight="1" x14ac:dyDescent="0.25">
      <c r="A22" s="82"/>
      <c r="B22" s="85"/>
      <c r="C22" s="39" t="s">
        <v>36</v>
      </c>
      <c r="D22" s="40">
        <f t="shared" si="0"/>
        <v>0</v>
      </c>
      <c r="E22" s="40">
        <f t="shared" si="1"/>
        <v>0</v>
      </c>
      <c r="F22" s="41" t="str">
        <f t="shared" si="3"/>
        <v>0%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/>
      <c r="P22" s="53">
        <v>0</v>
      </c>
      <c r="Q22" s="53">
        <v>0</v>
      </c>
      <c r="R22" s="53">
        <v>0</v>
      </c>
    </row>
    <row r="23" spans="1:18" s="2" customFormat="1" ht="63" customHeight="1" x14ac:dyDescent="0.25">
      <c r="A23" s="37">
        <v>3</v>
      </c>
      <c r="B23" s="38" t="s">
        <v>40</v>
      </c>
      <c r="C23" s="39" t="s">
        <v>39</v>
      </c>
      <c r="D23" s="40">
        <f t="shared" si="0"/>
        <v>0</v>
      </c>
      <c r="E23" s="40">
        <f t="shared" si="1"/>
        <v>0</v>
      </c>
      <c r="F23" s="41" t="str">
        <f t="shared" si="3"/>
        <v>0%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  <c r="N23" s="53">
        <v>0</v>
      </c>
      <c r="O23" s="53">
        <v>0</v>
      </c>
      <c r="P23" s="53">
        <v>0</v>
      </c>
      <c r="Q23" s="53">
        <v>0</v>
      </c>
      <c r="R23" s="53">
        <v>0</v>
      </c>
    </row>
    <row r="24" spans="1:18" x14ac:dyDescent="0.25">
      <c r="A24" s="69" t="s">
        <v>13</v>
      </c>
      <c r="B24" s="69"/>
      <c r="C24" s="52"/>
      <c r="D24" s="42">
        <f>SUM(D10:D23)</f>
        <v>13407464</v>
      </c>
      <c r="E24" s="43">
        <f>SUM(E10:E23)</f>
        <v>13407464</v>
      </c>
      <c r="F24" s="44">
        <f>E24/D24</f>
        <v>1</v>
      </c>
      <c r="G24" s="45">
        <f t="shared" ref="G24:R24" si="4">SUM(G10:G23)</f>
        <v>825622</v>
      </c>
      <c r="H24" s="45">
        <f t="shared" si="4"/>
        <v>825622</v>
      </c>
      <c r="I24" s="45">
        <f t="shared" si="4"/>
        <v>825622</v>
      </c>
      <c r="J24" s="45">
        <f t="shared" si="4"/>
        <v>1125622</v>
      </c>
      <c r="K24" s="45">
        <f t="shared" si="4"/>
        <v>825622</v>
      </c>
      <c r="L24" s="45">
        <f t="shared" si="4"/>
        <v>1025622</v>
      </c>
      <c r="M24" s="45">
        <f t="shared" si="4"/>
        <v>925622</v>
      </c>
      <c r="N24" s="45">
        <f t="shared" si="4"/>
        <v>825622</v>
      </c>
      <c r="O24" s="45">
        <f t="shared" si="4"/>
        <v>825622</v>
      </c>
      <c r="P24" s="45">
        <f t="shared" si="4"/>
        <v>1125622</v>
      </c>
      <c r="Q24" s="45">
        <f t="shared" si="4"/>
        <v>3425622</v>
      </c>
      <c r="R24" s="45">
        <f t="shared" si="4"/>
        <v>825622</v>
      </c>
    </row>
    <row r="25" spans="1:18" x14ac:dyDescent="0.25">
      <c r="A25" s="46"/>
      <c r="B25" s="47" t="s">
        <v>42</v>
      </c>
      <c r="C25" s="48">
        <v>5.1999999999999998E-2</v>
      </c>
      <c r="D25" s="49">
        <f>(D24*C25)+D24</f>
        <v>14104652.128</v>
      </c>
      <c r="E25" s="50"/>
      <c r="F25" s="46"/>
      <c r="G25" s="51">
        <f>(G24*C25)+G24</f>
        <v>868554.34400000004</v>
      </c>
      <c r="H25" s="51">
        <f>(H24*C25)+H24</f>
        <v>868554.34400000004</v>
      </c>
      <c r="I25" s="51">
        <f>(I24*C25)+I24</f>
        <v>868554.34400000004</v>
      </c>
      <c r="J25" s="51">
        <f>(J24*C25)+J24</f>
        <v>1184154.344</v>
      </c>
      <c r="K25" s="51">
        <f>(K24*C25)+K24</f>
        <v>868554.34400000004</v>
      </c>
      <c r="L25" s="51">
        <f>(L24*C25)+L24</f>
        <v>1078954.344</v>
      </c>
      <c r="M25" s="51">
        <f>(M24*C25)+M24</f>
        <v>973754.34400000004</v>
      </c>
      <c r="N25" s="51">
        <f>(N24*C25)+N24</f>
        <v>868554.34400000004</v>
      </c>
      <c r="O25" s="51">
        <f>(O24*C25)+O24</f>
        <v>868554.34400000004</v>
      </c>
      <c r="P25" s="51">
        <f>(P24*C25)+P24</f>
        <v>1184154.344</v>
      </c>
      <c r="Q25" s="51">
        <f>(Q24*C25)+Q24</f>
        <v>3603754.344</v>
      </c>
      <c r="R25" s="51">
        <f>(R24*C25)+R24</f>
        <v>868554.34400000004</v>
      </c>
    </row>
    <row r="26" spans="1:18" x14ac:dyDescent="0.25">
      <c r="B26" s="31"/>
      <c r="C26" s="32"/>
      <c r="D26" s="33"/>
      <c r="E26" s="27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</row>
    <row r="27" spans="1:18" x14ac:dyDescent="0.25">
      <c r="B27" s="31"/>
      <c r="C27" s="32"/>
      <c r="D27" s="33"/>
      <c r="E27" s="27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</row>
    <row r="28" spans="1:18" hidden="1" x14ac:dyDescent="0.25">
      <c r="B28" s="31"/>
      <c r="C28" s="32"/>
      <c r="D28" s="33"/>
      <c r="E28" s="27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</row>
    <row r="29" spans="1:18" hidden="1" x14ac:dyDescent="0.25">
      <c r="B29" s="31"/>
      <c r="C29" s="32"/>
      <c r="D29" s="33"/>
      <c r="E29" s="27"/>
      <c r="G29" s="34"/>
      <c r="H29" s="34"/>
      <c r="I29" s="34"/>
      <c r="J29" s="34"/>
      <c r="K29" s="34"/>
      <c r="L29" s="34"/>
      <c r="M29" s="34"/>
      <c r="O29" s="34"/>
      <c r="P29" s="34"/>
      <c r="Q29" s="34"/>
      <c r="R29" s="34"/>
    </row>
    <row r="30" spans="1:18" hidden="1" x14ac:dyDescent="0.25">
      <c r="B30" s="31"/>
      <c r="C30" s="32"/>
      <c r="D30" s="33"/>
      <c r="E30" s="27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</row>
    <row r="31" spans="1:18" hidden="1" x14ac:dyDescent="0.25">
      <c r="B31" s="31"/>
      <c r="C31" s="32"/>
      <c r="D31" s="33"/>
      <c r="E31" s="27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</row>
    <row r="32" spans="1:18" hidden="1" x14ac:dyDescent="0.25">
      <c r="B32" s="31"/>
      <c r="C32" s="32"/>
      <c r="D32" s="33"/>
      <c r="E32" s="27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</row>
    <row r="33" spans="1:18" hidden="1" x14ac:dyDescent="0.25">
      <c r="B33" s="31"/>
      <c r="C33" s="32"/>
      <c r="D33" s="33"/>
      <c r="E33" s="27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</row>
    <row r="34" spans="1:18" hidden="1" x14ac:dyDescent="0.25">
      <c r="B34" s="31"/>
      <c r="C34" s="32"/>
      <c r="D34" s="33"/>
      <c r="E34" s="27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</row>
    <row r="35" spans="1:18" hidden="1" x14ac:dyDescent="0.25">
      <c r="B35" s="31"/>
      <c r="C35" s="32"/>
      <c r="D35" s="33"/>
      <c r="E35" s="27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</row>
    <row r="36" spans="1:18" hidden="1" x14ac:dyDescent="0.25">
      <c r="L36" s="34"/>
    </row>
    <row r="37" spans="1:18" hidden="1" x14ac:dyDescent="0.25">
      <c r="L37" s="34"/>
    </row>
    <row r="38" spans="1:18" hidden="1" x14ac:dyDescent="0.25">
      <c r="L38" s="34"/>
    </row>
    <row r="39" spans="1:18" hidden="1" x14ac:dyDescent="0.25">
      <c r="L39" s="34"/>
    </row>
    <row r="40" spans="1:18" hidden="1" x14ac:dyDescent="0.25">
      <c r="L40" s="34"/>
    </row>
    <row r="41" spans="1:18" hidden="1" x14ac:dyDescent="0.25">
      <c r="L41" s="34"/>
    </row>
    <row r="42" spans="1:18" hidden="1" x14ac:dyDescent="0.25">
      <c r="L42" s="34"/>
    </row>
    <row r="43" spans="1:18" hidden="1" x14ac:dyDescent="0.25">
      <c r="L43" s="34"/>
    </row>
    <row r="44" spans="1:18" hidden="1" x14ac:dyDescent="0.25">
      <c r="L44" s="34"/>
    </row>
    <row r="45" spans="1:18" hidden="1" x14ac:dyDescent="0.25">
      <c r="L45" s="34"/>
    </row>
    <row r="46" spans="1:18" ht="15.75" hidden="1" x14ac:dyDescent="0.25">
      <c r="A46" s="67" t="s">
        <v>14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</row>
    <row r="47" spans="1:18" ht="15.75" hidden="1" thickBot="1" x14ac:dyDescent="0.3"/>
    <row r="48" spans="1:18" ht="21" hidden="1" x14ac:dyDescent="0.25">
      <c r="K48" s="30"/>
      <c r="L48" s="58" t="s">
        <v>44</v>
      </c>
      <c r="M48" s="59"/>
      <c r="N48" s="59"/>
      <c r="O48" s="59"/>
      <c r="P48" s="59"/>
      <c r="Q48" s="60"/>
    </row>
    <row r="49" spans="10:17" ht="15" hidden="1" customHeight="1" x14ac:dyDescent="0.25">
      <c r="J49" s="30"/>
      <c r="K49" s="30"/>
      <c r="L49" s="61"/>
      <c r="M49" s="62"/>
      <c r="N49" s="62"/>
      <c r="O49" s="62"/>
      <c r="P49" s="62"/>
      <c r="Q49" s="63"/>
    </row>
    <row r="50" spans="10:17" ht="15" hidden="1" customHeight="1" x14ac:dyDescent="0.25">
      <c r="J50" s="30"/>
      <c r="K50" s="30"/>
      <c r="L50" s="61"/>
      <c r="M50" s="62"/>
      <c r="N50" s="62"/>
      <c r="O50" s="62"/>
      <c r="P50" s="62"/>
      <c r="Q50" s="63"/>
    </row>
    <row r="51" spans="10:17" ht="15" hidden="1" customHeight="1" x14ac:dyDescent="0.25">
      <c r="J51" s="30"/>
      <c r="K51" s="30"/>
      <c r="L51" s="61"/>
      <c r="M51" s="62"/>
      <c r="N51" s="62"/>
      <c r="O51" s="62"/>
      <c r="P51" s="62"/>
      <c r="Q51" s="63"/>
    </row>
    <row r="52" spans="10:17" ht="15" hidden="1" customHeight="1" x14ac:dyDescent="0.25">
      <c r="J52" s="30"/>
      <c r="K52" s="30"/>
      <c r="L52" s="61"/>
      <c r="M52" s="62"/>
      <c r="N52" s="62"/>
      <c r="O52" s="62"/>
      <c r="P52" s="62"/>
      <c r="Q52" s="63"/>
    </row>
    <row r="53" spans="10:17" ht="15" hidden="1" customHeight="1" x14ac:dyDescent="0.25">
      <c r="J53" s="30"/>
      <c r="K53" s="30"/>
      <c r="L53" s="61"/>
      <c r="M53" s="62"/>
      <c r="N53" s="62"/>
      <c r="O53" s="62"/>
      <c r="P53" s="62"/>
      <c r="Q53" s="63"/>
    </row>
    <row r="54" spans="10:17" ht="15" hidden="1" customHeight="1" x14ac:dyDescent="0.25">
      <c r="J54" s="30"/>
      <c r="K54" s="30"/>
      <c r="L54" s="61"/>
      <c r="M54" s="62"/>
      <c r="N54" s="62"/>
      <c r="O54" s="62"/>
      <c r="P54" s="62"/>
      <c r="Q54" s="63"/>
    </row>
    <row r="55" spans="10:17" ht="15" hidden="1" customHeight="1" x14ac:dyDescent="0.25">
      <c r="J55" s="30"/>
      <c r="K55" s="30"/>
      <c r="L55" s="61"/>
      <c r="M55" s="62"/>
      <c r="N55" s="62"/>
      <c r="O55" s="62"/>
      <c r="P55" s="62"/>
      <c r="Q55" s="63"/>
    </row>
    <row r="56" spans="10:17" ht="15" hidden="1" customHeight="1" x14ac:dyDescent="0.25">
      <c r="J56" s="30"/>
      <c r="K56" s="30"/>
      <c r="L56" s="61"/>
      <c r="M56" s="62"/>
      <c r="N56" s="62"/>
      <c r="O56" s="62"/>
      <c r="P56" s="62"/>
      <c r="Q56" s="63"/>
    </row>
    <row r="57" spans="10:17" ht="15" hidden="1" customHeight="1" x14ac:dyDescent="0.25">
      <c r="J57" s="30"/>
      <c r="K57" s="30"/>
      <c r="L57" s="61"/>
      <c r="M57" s="62"/>
      <c r="N57" s="62"/>
      <c r="O57" s="62"/>
      <c r="P57" s="62"/>
      <c r="Q57" s="63"/>
    </row>
    <row r="58" spans="10:17" ht="15" hidden="1" customHeight="1" x14ac:dyDescent="0.25">
      <c r="J58" s="30"/>
      <c r="K58" s="30"/>
      <c r="L58" s="61"/>
      <c r="M58" s="62"/>
      <c r="N58" s="62"/>
      <c r="O58" s="62"/>
      <c r="P58" s="62"/>
      <c r="Q58" s="63"/>
    </row>
    <row r="59" spans="10:17" ht="15" hidden="1" customHeight="1" x14ac:dyDescent="0.25">
      <c r="J59" s="30"/>
      <c r="K59" s="30"/>
      <c r="L59" s="61"/>
      <c r="M59" s="62"/>
      <c r="N59" s="62"/>
      <c r="O59" s="62"/>
      <c r="P59" s="62"/>
      <c r="Q59" s="63"/>
    </row>
    <row r="60" spans="10:17" ht="15" hidden="1" customHeight="1" x14ac:dyDescent="0.25">
      <c r="J60" s="30"/>
      <c r="K60" s="30"/>
      <c r="L60" s="61"/>
      <c r="M60" s="62"/>
      <c r="N60" s="62"/>
      <c r="O60" s="62"/>
      <c r="P60" s="62"/>
      <c r="Q60" s="63"/>
    </row>
    <row r="61" spans="10:17" ht="15" hidden="1" customHeight="1" x14ac:dyDescent="0.25">
      <c r="J61" s="30"/>
      <c r="K61" s="30"/>
      <c r="L61" s="61"/>
      <c r="M61" s="62"/>
      <c r="N61" s="62"/>
      <c r="O61" s="62"/>
      <c r="P61" s="62"/>
      <c r="Q61" s="63"/>
    </row>
    <row r="62" spans="10:17" ht="15" hidden="1" customHeight="1" x14ac:dyDescent="0.25">
      <c r="J62" s="30"/>
      <c r="K62" s="30"/>
      <c r="L62" s="61"/>
      <c r="M62" s="62"/>
      <c r="N62" s="62"/>
      <c r="O62" s="62"/>
      <c r="P62" s="62"/>
      <c r="Q62" s="63"/>
    </row>
    <row r="63" spans="10:17" ht="15" hidden="1" customHeight="1" x14ac:dyDescent="0.25">
      <c r="J63" s="30"/>
      <c r="K63" s="30"/>
      <c r="L63" s="61"/>
      <c r="M63" s="62"/>
      <c r="N63" s="62"/>
      <c r="O63" s="62"/>
      <c r="P63" s="62"/>
      <c r="Q63" s="63"/>
    </row>
    <row r="64" spans="10:17" ht="15.75" hidden="1" customHeight="1" x14ac:dyDescent="0.25">
      <c r="L64" s="61"/>
      <c r="M64" s="62"/>
      <c r="N64" s="62"/>
      <c r="O64" s="62"/>
      <c r="P64" s="62"/>
      <c r="Q64" s="63"/>
    </row>
    <row r="65" spans="2:17" ht="15.75" hidden="1" thickBot="1" x14ac:dyDescent="0.3">
      <c r="L65" s="64"/>
      <c r="M65" s="65"/>
      <c r="N65" s="65"/>
      <c r="O65" s="65"/>
      <c r="P65" s="65"/>
      <c r="Q65" s="66"/>
    </row>
    <row r="66" spans="2:17" hidden="1" x14ac:dyDescent="0.25"/>
    <row r="67" spans="2:17" hidden="1" x14ac:dyDescent="0.25"/>
    <row r="69" spans="2:17" x14ac:dyDescent="0.25">
      <c r="B69" s="1" t="s">
        <v>24</v>
      </c>
      <c r="E69" s="2" t="s">
        <v>25</v>
      </c>
    </row>
    <row r="71" spans="2:17" x14ac:dyDescent="0.25">
      <c r="B71" s="14"/>
      <c r="E71" s="28"/>
      <c r="F71" s="14"/>
    </row>
  </sheetData>
  <mergeCells count="17">
    <mergeCell ref="G8:R8"/>
    <mergeCell ref="C8:C9"/>
    <mergeCell ref="L48:Q65"/>
    <mergeCell ref="A46:R46"/>
    <mergeCell ref="F8:F9"/>
    <mergeCell ref="A24:B24"/>
    <mergeCell ref="E8:E9"/>
    <mergeCell ref="D8:D9"/>
    <mergeCell ref="B8:B9"/>
    <mergeCell ref="A8:A9"/>
    <mergeCell ref="B11:B22"/>
    <mergeCell ref="A11:A22"/>
    <mergeCell ref="A1:E4"/>
    <mergeCell ref="L3:R4"/>
    <mergeCell ref="L1:R2"/>
    <mergeCell ref="F3:K4"/>
    <mergeCell ref="F1:K2"/>
  </mergeCells>
  <printOptions horizontalCentered="1"/>
  <pageMargins left="7.874015748031496E-2" right="7.874015748031496E-2" top="0.15748031496062992" bottom="0.15748031496062992" header="0.31496062992125984" footer="0.31496062992125984"/>
  <pageSetup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4"/>
  <sheetViews>
    <sheetView topLeftCell="A16" zoomScale="60" zoomScaleNormal="60" workbookViewId="0">
      <selection sqref="A1:E4"/>
    </sheetView>
  </sheetViews>
  <sheetFormatPr baseColWidth="10" defaultColWidth="11.42578125" defaultRowHeight="15" x14ac:dyDescent="0.25"/>
  <cols>
    <col min="1" max="1" width="4.5703125" style="1" customWidth="1"/>
    <col min="2" max="2" width="28.28515625" style="1" customWidth="1"/>
    <col min="3" max="3" width="33" style="1" customWidth="1"/>
    <col min="4" max="4" width="20.7109375" style="1" customWidth="1"/>
    <col min="5" max="5" width="18.140625" style="2" customWidth="1"/>
    <col min="6" max="6" width="12.5703125" style="1" customWidth="1"/>
    <col min="7" max="18" width="16.7109375" style="1" customWidth="1"/>
    <col min="19" max="16384" width="11.42578125" style="1"/>
  </cols>
  <sheetData>
    <row r="1" spans="1:18" ht="15" customHeight="1" x14ac:dyDescent="0.25">
      <c r="A1" s="54"/>
      <c r="B1" s="54"/>
      <c r="C1" s="54"/>
      <c r="D1" s="54"/>
      <c r="E1" s="54"/>
      <c r="F1" s="55" t="s">
        <v>16</v>
      </c>
      <c r="G1" s="55"/>
      <c r="H1" s="55"/>
      <c r="I1" s="55"/>
      <c r="J1" s="55"/>
      <c r="K1" s="55"/>
      <c r="L1" s="55" t="s">
        <v>18</v>
      </c>
      <c r="M1" s="55"/>
      <c r="N1" s="55"/>
      <c r="O1" s="55"/>
      <c r="P1" s="55"/>
      <c r="Q1" s="55"/>
      <c r="R1" s="55"/>
    </row>
    <row r="2" spans="1:18" ht="15" customHeight="1" x14ac:dyDescent="0.25">
      <c r="A2" s="54"/>
      <c r="B2" s="54"/>
      <c r="C2" s="54"/>
      <c r="D2" s="54"/>
      <c r="E2" s="54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</row>
    <row r="3" spans="1:18" ht="15" customHeight="1" x14ac:dyDescent="0.25">
      <c r="A3" s="54"/>
      <c r="B3" s="54"/>
      <c r="C3" s="54"/>
      <c r="D3" s="54"/>
      <c r="E3" s="54"/>
      <c r="F3" s="55" t="s">
        <v>17</v>
      </c>
      <c r="G3" s="55"/>
      <c r="H3" s="55"/>
      <c r="I3" s="55"/>
      <c r="J3" s="55"/>
      <c r="K3" s="55"/>
      <c r="L3" s="55" t="s">
        <v>20</v>
      </c>
      <c r="M3" s="55"/>
      <c r="N3" s="55"/>
      <c r="O3" s="55"/>
      <c r="P3" s="55"/>
      <c r="Q3" s="55"/>
      <c r="R3" s="55"/>
    </row>
    <row r="4" spans="1:18" ht="15.95" customHeight="1" x14ac:dyDescent="0.25">
      <c r="A4" s="54"/>
      <c r="B4" s="54"/>
      <c r="C4" s="54"/>
      <c r="D4" s="54"/>
      <c r="E4" s="54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</row>
    <row r="5" spans="1:18" ht="12" customHeight="1" x14ac:dyDescent="0.25">
      <c r="O5" s="6"/>
      <c r="P5" s="6"/>
      <c r="Q5" s="6"/>
      <c r="R5" s="6"/>
    </row>
    <row r="6" spans="1:18" ht="12" customHeight="1" x14ac:dyDescent="0.25">
      <c r="A6" s="12" t="s">
        <v>47</v>
      </c>
      <c r="B6" s="12"/>
      <c r="C6" s="12"/>
      <c r="D6" s="7"/>
      <c r="O6" s="6"/>
      <c r="P6" s="6"/>
      <c r="Q6" s="6"/>
      <c r="R6" s="6"/>
    </row>
    <row r="7" spans="1:18" ht="12" customHeight="1" x14ac:dyDescent="0.25">
      <c r="H7" s="17"/>
      <c r="O7" s="5"/>
      <c r="P7" s="5"/>
      <c r="Q7" s="5"/>
      <c r="R7" s="5"/>
    </row>
    <row r="8" spans="1:18" s="2" customFormat="1" ht="27.75" customHeight="1" x14ac:dyDescent="0.25">
      <c r="A8" s="70" t="s">
        <v>0</v>
      </c>
      <c r="B8" s="70" t="s">
        <v>12</v>
      </c>
      <c r="C8" s="9"/>
      <c r="D8" s="71" t="s">
        <v>48</v>
      </c>
      <c r="E8" s="71" t="s">
        <v>22</v>
      </c>
      <c r="F8" s="72" t="s">
        <v>26</v>
      </c>
      <c r="G8" s="74" t="s">
        <v>15</v>
      </c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</row>
    <row r="9" spans="1:18" s="2" customFormat="1" ht="35.25" customHeight="1" x14ac:dyDescent="0.25">
      <c r="A9" s="70"/>
      <c r="B9" s="70"/>
      <c r="C9" s="9"/>
      <c r="D9" s="70"/>
      <c r="E9" s="71"/>
      <c r="F9" s="73"/>
      <c r="G9" s="8" t="s">
        <v>21</v>
      </c>
      <c r="H9" s="9" t="s">
        <v>1</v>
      </c>
      <c r="I9" s="9" t="s">
        <v>2</v>
      </c>
      <c r="J9" s="9" t="s">
        <v>3</v>
      </c>
      <c r="K9" s="9" t="s">
        <v>4</v>
      </c>
      <c r="L9" s="9" t="s">
        <v>5</v>
      </c>
      <c r="M9" s="9" t="s">
        <v>6</v>
      </c>
      <c r="N9" s="9" t="s">
        <v>7</v>
      </c>
      <c r="O9" s="9" t="s">
        <v>8</v>
      </c>
      <c r="P9" s="9" t="s">
        <v>9</v>
      </c>
      <c r="Q9" s="9" t="s">
        <v>10</v>
      </c>
      <c r="R9" s="9" t="s">
        <v>11</v>
      </c>
    </row>
    <row r="10" spans="1:18" s="2" customFormat="1" ht="51.75" customHeight="1" x14ac:dyDescent="0.25">
      <c r="A10" s="10">
        <v>1</v>
      </c>
      <c r="B10" s="13" t="s">
        <v>19</v>
      </c>
      <c r="C10" s="16" t="s">
        <v>33</v>
      </c>
      <c r="D10" s="21">
        <v>6784608</v>
      </c>
      <c r="E10" s="21">
        <v>0</v>
      </c>
      <c r="F10" s="29">
        <f t="shared" ref="F10:F25" si="0">E10/D10</f>
        <v>0</v>
      </c>
      <c r="G10" s="11">
        <v>565384</v>
      </c>
      <c r="H10" s="11">
        <v>565384</v>
      </c>
      <c r="I10" s="11">
        <v>565384</v>
      </c>
      <c r="J10" s="11">
        <v>565384</v>
      </c>
      <c r="K10" s="11">
        <v>565384</v>
      </c>
      <c r="L10" s="11">
        <v>565384</v>
      </c>
      <c r="M10" s="11">
        <v>565384</v>
      </c>
      <c r="N10" s="11">
        <v>565384</v>
      </c>
      <c r="O10" s="11">
        <v>565384</v>
      </c>
      <c r="P10" s="11">
        <v>565384</v>
      </c>
      <c r="Q10" s="11">
        <v>565384</v>
      </c>
      <c r="R10" s="11">
        <v>565384</v>
      </c>
    </row>
    <row r="11" spans="1:18" s="2" customFormat="1" ht="51.75" customHeight="1" x14ac:dyDescent="0.25">
      <c r="A11" s="10">
        <v>2</v>
      </c>
      <c r="B11" s="75" t="s">
        <v>37</v>
      </c>
      <c r="C11" s="16" t="s">
        <v>27</v>
      </c>
      <c r="D11" s="21">
        <v>100000</v>
      </c>
      <c r="E11" s="21">
        <f t="shared" ref="E11:E25" si="1">SUM(G11:R11)</f>
        <v>0</v>
      </c>
      <c r="F11" s="29">
        <f t="shared" si="0"/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</row>
    <row r="12" spans="1:18" s="2" customFormat="1" ht="51.75" customHeight="1" x14ac:dyDescent="0.25">
      <c r="A12" s="10"/>
      <c r="B12" s="76"/>
      <c r="C12" s="16" t="s">
        <v>28</v>
      </c>
      <c r="D12" s="21">
        <v>500000</v>
      </c>
      <c r="E12" s="21">
        <f t="shared" si="1"/>
        <v>0</v>
      </c>
      <c r="F12" s="29">
        <f t="shared" si="0"/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</row>
    <row r="13" spans="1:18" s="2" customFormat="1" ht="51.75" customHeight="1" x14ac:dyDescent="0.25">
      <c r="A13" s="10"/>
      <c r="B13" s="76"/>
      <c r="C13" s="16" t="s">
        <v>29</v>
      </c>
      <c r="D13" s="21">
        <v>2100000</v>
      </c>
      <c r="E13" s="21">
        <f t="shared" si="1"/>
        <v>0</v>
      </c>
      <c r="F13" s="29">
        <f t="shared" si="0"/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</row>
    <row r="14" spans="1:18" s="2" customFormat="1" ht="51.75" customHeight="1" x14ac:dyDescent="0.25">
      <c r="A14" s="10"/>
      <c r="B14" s="76"/>
      <c r="C14" s="16" t="s">
        <v>30</v>
      </c>
      <c r="D14" s="21">
        <v>4072000</v>
      </c>
      <c r="E14" s="21">
        <f t="shared" si="1"/>
        <v>0</v>
      </c>
      <c r="F14" s="29">
        <f t="shared" si="0"/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</row>
    <row r="15" spans="1:18" s="2" customFormat="1" ht="51.75" customHeight="1" x14ac:dyDescent="0.25">
      <c r="A15" s="10"/>
      <c r="B15" s="76"/>
      <c r="C15" s="16" t="s">
        <v>43</v>
      </c>
      <c r="D15" s="21">
        <v>700000</v>
      </c>
      <c r="E15" s="21">
        <f t="shared" si="1"/>
        <v>0</v>
      </c>
      <c r="F15" s="29">
        <f t="shared" si="0"/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</row>
    <row r="16" spans="1:18" s="2" customFormat="1" ht="51.75" customHeight="1" x14ac:dyDescent="0.25">
      <c r="A16" s="10"/>
      <c r="B16" s="76"/>
      <c r="C16" s="16" t="s">
        <v>31</v>
      </c>
      <c r="D16" s="21">
        <v>100000</v>
      </c>
      <c r="E16" s="21">
        <f t="shared" si="1"/>
        <v>0</v>
      </c>
      <c r="F16" s="29">
        <f t="shared" si="0"/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</row>
    <row r="17" spans="1:18" s="2" customFormat="1" ht="51.75" customHeight="1" x14ac:dyDescent="0.25">
      <c r="A17" s="10"/>
      <c r="B17" s="76"/>
      <c r="C17" s="16" t="s">
        <v>32</v>
      </c>
      <c r="D17" s="21">
        <v>450000</v>
      </c>
      <c r="E17" s="21">
        <v>0</v>
      </c>
      <c r="F17" s="29">
        <f t="shared" si="0"/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</row>
    <row r="18" spans="1:18" s="2" customFormat="1" ht="51.75" customHeight="1" x14ac:dyDescent="0.25">
      <c r="A18" s="10"/>
      <c r="B18" s="76"/>
      <c r="C18" s="16" t="s">
        <v>38</v>
      </c>
      <c r="D18" s="21">
        <v>150000</v>
      </c>
      <c r="E18" s="21">
        <f t="shared" si="1"/>
        <v>0</v>
      </c>
      <c r="F18" s="29">
        <f t="shared" si="0"/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</row>
    <row r="19" spans="1:18" s="2" customFormat="1" ht="51.75" customHeight="1" x14ac:dyDescent="0.25">
      <c r="A19" s="10"/>
      <c r="B19" s="76"/>
      <c r="C19" s="16" t="s">
        <v>41</v>
      </c>
      <c r="D19" s="21">
        <v>400000</v>
      </c>
      <c r="E19" s="21">
        <f t="shared" si="1"/>
        <v>0</v>
      </c>
      <c r="F19" s="29">
        <f t="shared" si="0"/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</row>
    <row r="20" spans="1:18" s="2" customFormat="1" ht="51.75" customHeight="1" x14ac:dyDescent="0.25">
      <c r="A20" s="10"/>
      <c r="B20" s="77"/>
      <c r="C20" s="16" t="s">
        <v>45</v>
      </c>
      <c r="D20" s="21">
        <v>4800000</v>
      </c>
      <c r="E20" s="21">
        <v>0</v>
      </c>
      <c r="F20" s="29">
        <f t="shared" si="0"/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</row>
    <row r="21" spans="1:18" s="2" customFormat="1" ht="51.75" customHeight="1" x14ac:dyDescent="0.25">
      <c r="A21" s="10">
        <v>3</v>
      </c>
      <c r="B21" s="75" t="s">
        <v>23</v>
      </c>
      <c r="C21" s="16" t="s">
        <v>46</v>
      </c>
      <c r="D21" s="21">
        <v>460000</v>
      </c>
      <c r="E21" s="21">
        <v>0</v>
      </c>
      <c r="F21" s="29">
        <f t="shared" si="0"/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</row>
    <row r="22" spans="1:18" s="2" customFormat="1" ht="51.75" customHeight="1" x14ac:dyDescent="0.25">
      <c r="A22" s="10"/>
      <c r="B22" s="76"/>
      <c r="C22" s="16" t="s">
        <v>34</v>
      </c>
      <c r="D22" s="21">
        <v>7000000</v>
      </c>
      <c r="E22" s="21">
        <f t="shared" si="1"/>
        <v>0</v>
      </c>
      <c r="F22" s="29">
        <f t="shared" si="0"/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</row>
    <row r="23" spans="1:18" s="2" customFormat="1" ht="51.75" customHeight="1" x14ac:dyDescent="0.25">
      <c r="A23" s="10"/>
      <c r="B23" s="76"/>
      <c r="C23" s="16" t="s">
        <v>35</v>
      </c>
      <c r="D23" s="21">
        <v>850000</v>
      </c>
      <c r="E23" s="21">
        <f t="shared" si="1"/>
        <v>0</v>
      </c>
      <c r="F23" s="3">
        <f t="shared" si="0"/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</row>
    <row r="24" spans="1:18" s="2" customFormat="1" ht="51.75" customHeight="1" x14ac:dyDescent="0.25">
      <c r="A24" s="10"/>
      <c r="B24" s="77"/>
      <c r="C24" s="16" t="s">
        <v>36</v>
      </c>
      <c r="D24" s="21">
        <v>800000</v>
      </c>
      <c r="E24" s="21">
        <f t="shared" si="1"/>
        <v>0</v>
      </c>
      <c r="F24" s="3">
        <f t="shared" si="0"/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/>
      <c r="P24" s="11">
        <v>0</v>
      </c>
      <c r="Q24" s="11">
        <v>0</v>
      </c>
      <c r="R24" s="11">
        <v>0</v>
      </c>
    </row>
    <row r="25" spans="1:18" s="2" customFormat="1" ht="51.75" customHeight="1" x14ac:dyDescent="0.25">
      <c r="A25" s="10">
        <v>4</v>
      </c>
      <c r="B25" s="13" t="s">
        <v>40</v>
      </c>
      <c r="C25" s="16" t="s">
        <v>39</v>
      </c>
      <c r="D25" s="21">
        <v>150000</v>
      </c>
      <c r="E25" s="21">
        <f t="shared" si="1"/>
        <v>0</v>
      </c>
      <c r="F25" s="3">
        <f t="shared" si="0"/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</row>
    <row r="26" spans="1:18" x14ac:dyDescent="0.25">
      <c r="A26" s="78" t="s">
        <v>13</v>
      </c>
      <c r="B26" s="79"/>
      <c r="C26" s="15"/>
      <c r="D26" s="24">
        <f>SUM(D10:D25)</f>
        <v>29416608</v>
      </c>
      <c r="E26" s="26">
        <f>SUM(E10:E25)</f>
        <v>0</v>
      </c>
      <c r="F26" s="4">
        <f>E26/D26</f>
        <v>0</v>
      </c>
      <c r="G26" s="22">
        <f t="shared" ref="G26:R26" si="2">SUM(G10:G25)</f>
        <v>565384</v>
      </c>
      <c r="H26" s="22">
        <f t="shared" si="2"/>
        <v>565384</v>
      </c>
      <c r="I26" s="22">
        <f t="shared" si="2"/>
        <v>565384</v>
      </c>
      <c r="J26" s="22">
        <f t="shared" si="2"/>
        <v>565384</v>
      </c>
      <c r="K26" s="22">
        <f t="shared" si="2"/>
        <v>565384</v>
      </c>
      <c r="L26" s="22">
        <f t="shared" si="2"/>
        <v>565384</v>
      </c>
      <c r="M26" s="22">
        <f t="shared" si="2"/>
        <v>565384</v>
      </c>
      <c r="N26" s="22">
        <f t="shared" si="2"/>
        <v>565384</v>
      </c>
      <c r="O26" s="22">
        <f t="shared" si="2"/>
        <v>565384</v>
      </c>
      <c r="P26" s="22">
        <f t="shared" si="2"/>
        <v>565384</v>
      </c>
      <c r="Q26" s="22">
        <f t="shared" si="2"/>
        <v>565384</v>
      </c>
      <c r="R26" s="22">
        <f t="shared" si="2"/>
        <v>565384</v>
      </c>
    </row>
    <row r="27" spans="1:18" x14ac:dyDescent="0.25">
      <c r="A27" s="18"/>
      <c r="B27" s="19" t="s">
        <v>42</v>
      </c>
      <c r="C27" s="20">
        <v>1.6E-2</v>
      </c>
      <c r="D27" s="25">
        <f>(D26*C27)+D26</f>
        <v>29887273.728</v>
      </c>
      <c r="E27" s="27"/>
      <c r="G27" s="23">
        <f>(G26*C27)+G26</f>
        <v>574430.14399999997</v>
      </c>
      <c r="H27" s="23">
        <f>(H26*C27)+H26</f>
        <v>574430.14399999997</v>
      </c>
      <c r="I27" s="23">
        <f>(I26*C27)+I26</f>
        <v>574430.14399999997</v>
      </c>
      <c r="J27" s="23">
        <f>(J26*C27)+J26</f>
        <v>574430.14399999997</v>
      </c>
      <c r="K27" s="23">
        <f>(K26*C27)+K26</f>
        <v>574430.14399999997</v>
      </c>
      <c r="L27" s="23">
        <f>(L26*C27)+L26</f>
        <v>574430.14399999997</v>
      </c>
      <c r="M27" s="23">
        <f>(M26*C27)+M26</f>
        <v>574430.14399999997</v>
      </c>
      <c r="N27" s="23">
        <f>(N26*C27)+N26</f>
        <v>574430.14399999997</v>
      </c>
      <c r="O27" s="23">
        <f>(O26*C27)+O26</f>
        <v>574430.14399999997</v>
      </c>
      <c r="P27" s="23">
        <f>(P26*C27)+P26</f>
        <v>574430.14399999997</v>
      </c>
      <c r="Q27" s="23">
        <f>(Q26*C27)+Q26</f>
        <v>574430.14399999997</v>
      </c>
      <c r="R27" s="23">
        <f>(R26*C27)+R26</f>
        <v>574430.14399999997</v>
      </c>
    </row>
    <row r="28" spans="1:18" x14ac:dyDescent="0.25">
      <c r="L28" s="34"/>
    </row>
    <row r="29" spans="1:18" ht="15.75" x14ac:dyDescent="0.25">
      <c r="A29" s="67" t="s">
        <v>14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</row>
    <row r="30" spans="1:18" ht="15.75" thickBot="1" x14ac:dyDescent="0.3"/>
    <row r="31" spans="1:18" ht="21" x14ac:dyDescent="0.25">
      <c r="K31" s="30"/>
      <c r="L31" s="58" t="s">
        <v>44</v>
      </c>
      <c r="M31" s="59"/>
      <c r="N31" s="59"/>
      <c r="O31" s="59"/>
      <c r="P31" s="59"/>
      <c r="Q31" s="60"/>
    </row>
    <row r="32" spans="1:18" ht="15" customHeight="1" x14ac:dyDescent="0.25">
      <c r="J32" s="30"/>
      <c r="K32" s="30"/>
      <c r="L32" s="61"/>
      <c r="M32" s="62"/>
      <c r="N32" s="62"/>
      <c r="O32" s="62"/>
      <c r="P32" s="62"/>
      <c r="Q32" s="63"/>
    </row>
    <row r="33" spans="10:17" ht="15" customHeight="1" x14ac:dyDescent="0.25">
      <c r="J33" s="30"/>
      <c r="K33" s="30"/>
      <c r="L33" s="61"/>
      <c r="M33" s="62"/>
      <c r="N33" s="62"/>
      <c r="O33" s="62"/>
      <c r="P33" s="62"/>
      <c r="Q33" s="63"/>
    </row>
    <row r="34" spans="10:17" ht="15" customHeight="1" x14ac:dyDescent="0.25">
      <c r="J34" s="30"/>
      <c r="K34" s="30"/>
      <c r="L34" s="61"/>
      <c r="M34" s="62"/>
      <c r="N34" s="62"/>
      <c r="O34" s="62"/>
      <c r="P34" s="62"/>
      <c r="Q34" s="63"/>
    </row>
    <row r="35" spans="10:17" ht="15" customHeight="1" x14ac:dyDescent="0.25">
      <c r="J35" s="30"/>
      <c r="K35" s="30"/>
      <c r="L35" s="61"/>
      <c r="M35" s="62"/>
      <c r="N35" s="62"/>
      <c r="O35" s="62"/>
      <c r="P35" s="62"/>
      <c r="Q35" s="63"/>
    </row>
    <row r="36" spans="10:17" ht="15" customHeight="1" x14ac:dyDescent="0.25">
      <c r="J36" s="30"/>
      <c r="K36" s="30"/>
      <c r="L36" s="61"/>
      <c r="M36" s="62"/>
      <c r="N36" s="62"/>
      <c r="O36" s="62"/>
      <c r="P36" s="62"/>
      <c r="Q36" s="63"/>
    </row>
    <row r="37" spans="10:17" ht="15" customHeight="1" x14ac:dyDescent="0.25">
      <c r="J37" s="30"/>
      <c r="K37" s="30"/>
      <c r="L37" s="61"/>
      <c r="M37" s="62"/>
      <c r="N37" s="62"/>
      <c r="O37" s="62"/>
      <c r="P37" s="62"/>
      <c r="Q37" s="63"/>
    </row>
    <row r="38" spans="10:17" ht="15" customHeight="1" x14ac:dyDescent="0.25">
      <c r="J38" s="30"/>
      <c r="K38" s="30"/>
      <c r="L38" s="61"/>
      <c r="M38" s="62"/>
      <c r="N38" s="62"/>
      <c r="O38" s="62"/>
      <c r="P38" s="62"/>
      <c r="Q38" s="63"/>
    </row>
    <row r="39" spans="10:17" ht="15" customHeight="1" x14ac:dyDescent="0.25">
      <c r="J39" s="30"/>
      <c r="K39" s="30"/>
      <c r="L39" s="61"/>
      <c r="M39" s="62"/>
      <c r="N39" s="62"/>
      <c r="O39" s="62"/>
      <c r="P39" s="62"/>
      <c r="Q39" s="63"/>
    </row>
    <row r="40" spans="10:17" ht="15" customHeight="1" x14ac:dyDescent="0.25">
      <c r="J40" s="30"/>
      <c r="K40" s="30"/>
      <c r="L40" s="61"/>
      <c r="M40" s="62"/>
      <c r="N40" s="62"/>
      <c r="O40" s="62"/>
      <c r="P40" s="62"/>
      <c r="Q40" s="63"/>
    </row>
    <row r="41" spans="10:17" ht="15" customHeight="1" x14ac:dyDescent="0.25">
      <c r="J41" s="30"/>
      <c r="K41" s="30"/>
      <c r="L41" s="61"/>
      <c r="M41" s="62"/>
      <c r="N41" s="62"/>
      <c r="O41" s="62"/>
      <c r="P41" s="62"/>
      <c r="Q41" s="63"/>
    </row>
    <row r="42" spans="10:17" ht="15" customHeight="1" x14ac:dyDescent="0.25">
      <c r="J42" s="30"/>
      <c r="K42" s="30"/>
      <c r="L42" s="61"/>
      <c r="M42" s="62"/>
      <c r="N42" s="62"/>
      <c r="O42" s="62"/>
      <c r="P42" s="62"/>
      <c r="Q42" s="63"/>
    </row>
    <row r="43" spans="10:17" ht="15" customHeight="1" x14ac:dyDescent="0.25">
      <c r="J43" s="30"/>
      <c r="K43" s="30"/>
      <c r="L43" s="61"/>
      <c r="M43" s="62"/>
      <c r="N43" s="62"/>
      <c r="O43" s="62"/>
      <c r="P43" s="62"/>
      <c r="Q43" s="63"/>
    </row>
    <row r="44" spans="10:17" ht="15" customHeight="1" x14ac:dyDescent="0.25">
      <c r="J44" s="30"/>
      <c r="K44" s="30"/>
      <c r="L44" s="61"/>
      <c r="M44" s="62"/>
      <c r="N44" s="62"/>
      <c r="O44" s="62"/>
      <c r="P44" s="62"/>
      <c r="Q44" s="63"/>
    </row>
    <row r="45" spans="10:17" ht="15" customHeight="1" x14ac:dyDescent="0.25">
      <c r="J45" s="30"/>
      <c r="K45" s="30"/>
      <c r="L45" s="61"/>
      <c r="M45" s="62"/>
      <c r="N45" s="62"/>
      <c r="O45" s="62"/>
      <c r="P45" s="62"/>
      <c r="Q45" s="63"/>
    </row>
    <row r="46" spans="10:17" ht="15" customHeight="1" x14ac:dyDescent="0.25">
      <c r="J46" s="30"/>
      <c r="K46" s="30"/>
      <c r="L46" s="61"/>
      <c r="M46" s="62"/>
      <c r="N46" s="62"/>
      <c r="O46" s="62"/>
      <c r="P46" s="62"/>
      <c r="Q46" s="63"/>
    </row>
    <row r="47" spans="10:17" ht="15.75" customHeight="1" x14ac:dyDescent="0.25">
      <c r="L47" s="61"/>
      <c r="M47" s="62"/>
      <c r="N47" s="62"/>
      <c r="O47" s="62"/>
      <c r="P47" s="62"/>
      <c r="Q47" s="63"/>
    </row>
    <row r="48" spans="10:17" ht="15.75" thickBot="1" x14ac:dyDescent="0.3">
      <c r="L48" s="64"/>
      <c r="M48" s="65"/>
      <c r="N48" s="65"/>
      <c r="O48" s="65"/>
      <c r="P48" s="65"/>
      <c r="Q48" s="66"/>
    </row>
    <row r="52" spans="2:6" x14ac:dyDescent="0.25">
      <c r="B52" s="1" t="s">
        <v>24</v>
      </c>
      <c r="E52" s="2" t="s">
        <v>25</v>
      </c>
    </row>
    <row r="54" spans="2:6" x14ac:dyDescent="0.25">
      <c r="B54" s="14"/>
      <c r="E54" s="28"/>
      <c r="F54" s="14"/>
    </row>
  </sheetData>
  <mergeCells count="16">
    <mergeCell ref="L31:Q48"/>
    <mergeCell ref="A1:E4"/>
    <mergeCell ref="F1:K2"/>
    <mergeCell ref="L1:R2"/>
    <mergeCell ref="F3:K4"/>
    <mergeCell ref="L3:R4"/>
    <mergeCell ref="A8:A9"/>
    <mergeCell ref="B8:B9"/>
    <mergeCell ref="D8:D9"/>
    <mergeCell ref="E8:E9"/>
    <mergeCell ref="F8:F9"/>
    <mergeCell ref="G8:R8"/>
    <mergeCell ref="B11:B20"/>
    <mergeCell ref="B21:B24"/>
    <mergeCell ref="A26:B26"/>
    <mergeCell ref="A29:R29"/>
  </mergeCells>
  <pageMargins left="0" right="0" top="0.15748031496062992" bottom="0.15748031496062992" header="0.31496062992125984" footer="0.31496062992125984"/>
  <pageSetup scale="4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PRESUPUESTO </vt:lpstr>
      <vt:lpstr>Hoja1</vt:lpstr>
      <vt:lpstr>Hoja1!Área_de_impresión</vt:lpstr>
      <vt:lpstr>'PRESUPUESTO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SIGPE CONSULTORES</dc:creator>
  <cp:lastModifiedBy>Javier Robles JR</cp:lastModifiedBy>
  <cp:lastPrinted>2025-07-22T21:28:06Z</cp:lastPrinted>
  <dcterms:created xsi:type="dcterms:W3CDTF">2012-11-08T15:39:50Z</dcterms:created>
  <dcterms:modified xsi:type="dcterms:W3CDTF">2025-07-22T21:28:10Z</dcterms:modified>
</cp:coreProperties>
</file>